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.등록금등자금" sheetId="1" state="visible" r:id="rId1"/>
    <sheet name="2.목적자금" sheetId="2" state="visible" r:id="rId2"/>
  </sheets>
  <definedNames>
    <definedName name="_xlnm.Print_Area" localSheetId="0">'1.등록금등자금'!$A$1:$M$69</definedName>
    <definedName name="_xlnm.Print_Area" localSheetId="1">'2.목적자금'!$A$1:$M$42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Tahoma"/>
      <family val="2"/>
      <color indexed="81"/>
      <sz val="12"/>
    </font>
    <font>
      <name val="돋움"/>
      <charset val="129"/>
      <family val="3"/>
      <color indexed="81"/>
      <sz val="12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color theme="1"/>
      <sz val="15"/>
      <scheme val="minor"/>
    </font>
    <font>
      <name val="Tahoma"/>
      <family val="2"/>
      <b val="1"/>
      <color indexed="81"/>
      <sz val="12"/>
    </font>
    <font>
      <name val="돋움"/>
      <charset val="129"/>
      <family val="3"/>
      <b val="1"/>
      <color indexed="81"/>
      <sz val="12"/>
    </font>
    <font>
      <name val="맑은 고딕"/>
      <charset val="129"/>
      <family val="3"/>
      <b val="1"/>
      <color rgb="FFFF0000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2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60">
    <xf numFmtId="0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2" borderId="8" applyAlignment="1" pivotButton="0" quotePrefix="0" xfId="0">
      <alignment horizontal="center" vertical="center" shrinkToFit="1"/>
    </xf>
    <xf numFmtId="164" fontId="4" fillId="2" borderId="9" applyAlignment="1" pivotButton="0" quotePrefix="0" xfId="0">
      <alignment horizontal="center" vertical="center" shrinkToFit="1"/>
    </xf>
    <xf numFmtId="164" fontId="4" fillId="2" borderId="10" applyAlignment="1" pivotButton="0" quotePrefix="0" xfId="0">
      <alignment horizontal="center" vertical="center" shrinkToFit="1"/>
    </xf>
    <xf numFmtId="164" fontId="4" fillId="0" borderId="8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2" borderId="8" applyAlignment="1" pivotButton="0" quotePrefix="0" xfId="0">
      <alignment horizontal="center" vertical="center"/>
    </xf>
    <xf numFmtId="164" fontId="4" fillId="2" borderId="9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 shrinkToFit="1"/>
    </xf>
    <xf numFmtId="164" fontId="7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 shrinkToFit="1"/>
    </xf>
    <xf numFmtId="164" fontId="3" fillId="3" borderId="3" applyAlignment="1" pivotButton="0" quotePrefix="0" xfId="1">
      <alignment horizontal="center" vertical="center" shrinkToFit="1"/>
    </xf>
    <xf numFmtId="164" fontId="4" fillId="2" borderId="3" applyAlignment="1" pivotButton="0" quotePrefix="0" xfId="1">
      <alignment vertical="center" shrinkToFit="1"/>
    </xf>
    <xf numFmtId="164" fontId="4" fillId="2" borderId="7" applyAlignment="1" pivotButton="0" quotePrefix="0" xfId="1">
      <alignment vertical="center" shrinkToFit="1"/>
    </xf>
    <xf numFmtId="164" fontId="4" fillId="4" borderId="3" applyAlignment="1" pivotButton="0" quotePrefix="0" xfId="1">
      <alignment vertical="center" shrinkToFit="1"/>
    </xf>
    <xf numFmtId="164" fontId="4" fillId="2" borderId="6" applyAlignment="1" pivotButton="0" quotePrefix="0" xfId="1">
      <alignment vertical="center" shrinkToFit="1"/>
    </xf>
    <xf numFmtId="164" fontId="4" fillId="2" borderId="11" applyAlignment="1" pivotButton="0" quotePrefix="0" xfId="1">
      <alignment vertical="center" shrinkToFit="1"/>
    </xf>
    <xf numFmtId="164" fontId="3" fillId="2" borderId="0" applyAlignment="1" pivotButton="0" quotePrefix="0" xfId="1">
      <alignment vertical="center" shrinkToFit="1"/>
    </xf>
    <xf numFmtId="164" fontId="4" fillId="2" borderId="0" applyAlignment="1" pivotButton="0" quotePrefix="0" xfId="1">
      <alignment vertical="center" shrinkToFit="1"/>
    </xf>
    <xf numFmtId="164" fontId="3" fillId="2" borderId="14" applyAlignment="1" pivotButton="0" quotePrefix="0" xfId="1">
      <alignment vertical="center" shrinkToFit="1"/>
    </xf>
    <xf numFmtId="164" fontId="3" fillId="4" borderId="12" applyAlignment="1" pivotButton="0" quotePrefix="0" xfId="1">
      <alignment vertical="center" shrinkToFit="1"/>
    </xf>
    <xf numFmtId="164" fontId="4" fillId="2" borderId="16" applyAlignment="1" pivotButton="0" quotePrefix="0" xfId="0">
      <alignment horizontal="center" vertical="center" shrinkToFit="1"/>
    </xf>
    <xf numFmtId="164" fontId="3" fillId="2" borderId="17" applyAlignment="1" pivotButton="0" quotePrefix="0" xfId="1">
      <alignment vertical="center" shrinkToFit="1"/>
    </xf>
    <xf numFmtId="164" fontId="3" fillId="3" borderId="12" applyAlignment="1" pivotButton="0" quotePrefix="0" xfId="1">
      <alignment horizontal="center" vertical="center" shrinkToFit="1"/>
    </xf>
    <xf numFmtId="164" fontId="3" fillId="2" borderId="13" applyAlignment="1" pivotButton="0" quotePrefix="0" xfId="1">
      <alignment vertical="center" shrinkToFit="1"/>
    </xf>
    <xf numFmtId="164" fontId="3" fillId="2" borderId="15" applyAlignment="1" pivotButton="0" quotePrefix="0" xfId="1">
      <alignment vertical="center" shrinkToFit="1"/>
    </xf>
    <xf numFmtId="164" fontId="4" fillId="2" borderId="0" applyAlignment="1" pivotButton="0" quotePrefix="0" xfId="0">
      <alignment vertical="center"/>
    </xf>
    <xf numFmtId="164" fontId="17" fillId="2" borderId="16" applyAlignment="1" pivotButton="0" quotePrefix="0" xfId="0">
      <alignment horizontal="center" vertical="center" shrinkToFit="1"/>
    </xf>
    <xf numFmtId="164" fontId="17" fillId="2" borderId="8" applyAlignment="1" pivotButton="0" quotePrefix="0" xfId="0">
      <alignment horizontal="center" vertical="center" shrinkToFit="1"/>
    </xf>
    <xf numFmtId="164" fontId="20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 wrapText="1"/>
    </xf>
    <xf numFmtId="164" fontId="3" fillId="3" borderId="4" applyAlignment="1" pivotButton="0" quotePrefix="0" xfId="0">
      <alignment horizontal="center" vertical="center"/>
    </xf>
    <xf numFmtId="164" fontId="3" fillId="2" borderId="3" applyAlignment="1" pivotButton="0" quotePrefix="0" xfId="1">
      <alignment vertical="center" shrinkToFit="1"/>
    </xf>
    <xf numFmtId="164" fontId="4" fillId="0" borderId="36" applyAlignment="1" pivotButton="0" quotePrefix="0" xfId="0">
      <alignment horizontal="center" vertical="center"/>
    </xf>
    <xf numFmtId="164" fontId="3" fillId="0" borderId="36" applyAlignment="1" pivotButton="0" quotePrefix="0" xfId="1">
      <alignment vertical="center" shrinkToFit="1"/>
    </xf>
    <xf numFmtId="164" fontId="4" fillId="0" borderId="36" applyAlignment="1" pivotButton="0" quotePrefix="0" xfId="1">
      <alignment vertical="center" shrinkToFit="1"/>
    </xf>
    <xf numFmtId="164" fontId="4" fillId="0" borderId="25" applyAlignment="1" pivotButton="0" quotePrefix="0" xfId="0">
      <alignment horizontal="center" vertical="center"/>
    </xf>
    <xf numFmtId="164" fontId="3" fillId="0" borderId="25" applyAlignment="1" pivotButton="0" quotePrefix="0" xfId="1">
      <alignment vertical="center" shrinkToFit="1"/>
    </xf>
    <xf numFmtId="164" fontId="4" fillId="0" borderId="25" applyAlignment="1" pivotButton="0" quotePrefix="0" xfId="1">
      <alignment vertical="center" shrinkToFit="1"/>
    </xf>
    <xf numFmtId="164" fontId="3" fillId="0" borderId="38" applyAlignment="1" pivotButton="0" quotePrefix="0" xfId="0">
      <alignment horizontal="center" vertical="center" wrapText="1"/>
    </xf>
    <xf numFmtId="164" fontId="3" fillId="5" borderId="12" applyAlignment="1" pivotButton="0" quotePrefix="0" xfId="1">
      <alignment vertical="center" shrinkToFit="1"/>
    </xf>
    <xf numFmtId="164" fontId="3" fillId="6" borderId="27" applyAlignment="1" pivotButton="0" quotePrefix="0" xfId="1">
      <alignment vertical="center" shrinkToFit="1"/>
    </xf>
    <xf numFmtId="164" fontId="4" fillId="6" borderId="32" applyAlignment="1" pivotButton="0" quotePrefix="0" xfId="1">
      <alignment horizontal="center" vertical="center" shrinkToFit="1"/>
    </xf>
    <xf numFmtId="164" fontId="3" fillId="5" borderId="34" applyAlignment="1" pivotButton="0" quotePrefix="0" xfId="1">
      <alignment vertical="center" shrinkToFit="1"/>
    </xf>
    <xf numFmtId="164" fontId="4" fillId="5" borderId="32" applyAlignment="1" pivotButton="0" quotePrefix="0" xfId="1">
      <alignment vertical="center" shrinkToFit="1"/>
    </xf>
    <xf numFmtId="164" fontId="11" fillId="6" borderId="33" applyAlignment="1" pivotButton="0" quotePrefix="0" xfId="1">
      <alignment vertical="center" shrinkToFit="1"/>
    </xf>
    <xf numFmtId="164" fontId="11" fillId="6" borderId="34" applyAlignment="1" pivotButton="0" quotePrefix="0" xfId="1">
      <alignment vertical="center" shrinkToFit="1"/>
    </xf>
    <xf numFmtId="164" fontId="12" fillId="6" borderId="32" applyAlignment="1" pivotButton="0" quotePrefix="0" xfId="1">
      <alignment horizontal="center" vertical="center" shrinkToFit="1"/>
    </xf>
    <xf numFmtId="164" fontId="3" fillId="2" borderId="23" applyAlignment="1" pivotButton="0" quotePrefix="0" xfId="0">
      <alignment horizontal="center" vertical="center" wrapText="1"/>
    </xf>
    <xf numFmtId="164" fontId="21" fillId="0" borderId="0" applyAlignment="1" pivotButton="0" quotePrefix="0" xfId="0">
      <alignment vertical="center"/>
    </xf>
    <xf numFmtId="164" fontId="21" fillId="2" borderId="0" applyAlignment="1" pivotButton="0" quotePrefix="0" xfId="0">
      <alignment vertical="center"/>
    </xf>
    <xf numFmtId="164" fontId="3" fillId="3" borderId="40" applyAlignment="1" pivotButton="0" quotePrefix="0" xfId="1">
      <alignment horizontal="center" vertical="center" shrinkToFit="1"/>
    </xf>
    <xf numFmtId="164" fontId="3" fillId="3" borderId="4" applyAlignment="1" pivotButton="0" quotePrefix="0" xfId="1">
      <alignment horizontal="center" vertical="center" shrinkToFit="1"/>
    </xf>
    <xf numFmtId="164" fontId="3" fillId="0" borderId="41" applyAlignment="1" pivotButton="0" quotePrefix="0" xfId="0">
      <alignment horizontal="center" vertical="center" wrapText="1"/>
    </xf>
    <xf numFmtId="164" fontId="3" fillId="7" borderId="34" applyAlignment="1" pivotButton="0" quotePrefix="0" xfId="1">
      <alignment vertical="center" shrinkToFit="1"/>
    </xf>
    <xf numFmtId="164" fontId="4" fillId="7" borderId="32" applyAlignment="1" pivotButton="0" quotePrefix="0" xfId="1">
      <alignment horizontal="center" vertical="center" shrinkToFit="1"/>
    </xf>
    <xf numFmtId="164" fontId="3" fillId="6" borderId="34" applyAlignment="1" pivotButton="0" quotePrefix="0" xfId="1">
      <alignment vertical="center" shrinkToFit="1"/>
    </xf>
    <xf numFmtId="164" fontId="4" fillId="6" borderId="32" applyAlignment="1" pivotButton="0" quotePrefix="0" xfId="1">
      <alignment vertical="center" shrinkToFit="1"/>
    </xf>
    <xf numFmtId="164" fontId="3" fillId="4" borderId="34" applyAlignment="1" pivotButton="0" quotePrefix="0" xfId="1">
      <alignment vertical="center" shrinkToFit="1"/>
    </xf>
    <xf numFmtId="164" fontId="4" fillId="4" borderId="32" applyAlignment="1" pivotButton="0" quotePrefix="0" xfId="1">
      <alignment vertical="center" shrinkToFit="1"/>
    </xf>
    <xf numFmtId="164" fontId="3" fillId="2" borderId="44" applyAlignment="1" pivotButton="0" quotePrefix="0" xfId="1">
      <alignment vertical="center" shrinkToFit="1"/>
    </xf>
    <xf numFmtId="164" fontId="4" fillId="2" borderId="45" applyAlignment="1" pivotButton="0" quotePrefix="0" xfId="1">
      <alignment vertical="center" shrinkToFit="1"/>
    </xf>
    <xf numFmtId="164" fontId="4" fillId="2" borderId="43" applyAlignment="1" pivotButton="0" quotePrefix="0" xfId="0">
      <alignment horizontal="center" vertical="center"/>
    </xf>
    <xf numFmtId="164" fontId="3" fillId="2" borderId="12" applyAlignment="1" pivotButton="0" quotePrefix="0" xfId="1">
      <alignment vertical="center" shrinkToFit="1"/>
    </xf>
    <xf numFmtId="164" fontId="4" fillId="2" borderId="43" applyAlignment="1" pivotButton="0" quotePrefix="0" xfId="0">
      <alignment horizontal="center" vertical="center" shrinkToFit="1"/>
    </xf>
    <xf numFmtId="164" fontId="3" fillId="2" borderId="0" applyAlignment="1" pivotButton="0" quotePrefix="0" xfId="0">
      <alignment horizontal="center" vertical="center" shrinkToFit="1"/>
    </xf>
    <xf numFmtId="164" fontId="3" fillId="0" borderId="48" applyAlignment="1" pivotButton="0" quotePrefix="0" xfId="0">
      <alignment horizontal="center" vertical="center" wrapText="1"/>
    </xf>
    <xf numFmtId="164" fontId="3" fillId="0" borderId="30" applyAlignment="1" pivotButton="0" quotePrefix="0" xfId="0">
      <alignment horizontal="center" vertical="center" wrapText="1"/>
    </xf>
    <xf numFmtId="164" fontId="3" fillId="0" borderId="46" applyAlignment="1" pivotButton="0" quotePrefix="0" xfId="0">
      <alignment horizontal="center" vertical="center" wrapText="1"/>
    </xf>
    <xf numFmtId="164" fontId="11" fillId="8" borderId="14" applyAlignment="1" pivotButton="0" quotePrefix="0" xfId="1">
      <alignment vertical="center" shrinkToFit="1"/>
    </xf>
    <xf numFmtId="164" fontId="3" fillId="8" borderId="14" applyAlignment="1" pivotButton="0" quotePrefix="0" xfId="1">
      <alignment vertical="center" shrinkToFit="1"/>
    </xf>
    <xf numFmtId="164" fontId="4" fillId="8" borderId="7" applyAlignment="1" pivotButton="0" quotePrefix="0" xfId="1">
      <alignment vertical="center" shrinkToFit="1"/>
    </xf>
    <xf numFmtId="164" fontId="3" fillId="8" borderId="44" applyAlignment="1" pivotButton="0" quotePrefix="0" xfId="1">
      <alignment vertical="center" shrinkToFit="1"/>
    </xf>
    <xf numFmtId="164" fontId="3" fillId="2" borderId="0" applyAlignment="1" pivotButton="0" quotePrefix="0" xfId="0">
      <alignment horizontal="center" vertical="center" wrapText="1"/>
    </xf>
    <xf numFmtId="164" fontId="3" fillId="8" borderId="12" applyAlignment="1" pivotButton="0" quotePrefix="0" xfId="1">
      <alignment vertical="center" shrinkToFit="1"/>
    </xf>
    <xf numFmtId="164" fontId="3" fillId="8" borderId="3" applyAlignment="1" pivotButton="0" quotePrefix="0" xfId="1">
      <alignment vertical="center" shrinkToFit="1"/>
    </xf>
    <xf numFmtId="164" fontId="11" fillId="2" borderId="0" applyAlignment="1" pivotButton="0" quotePrefix="0" xfId="0">
      <alignment vertical="center"/>
    </xf>
    <xf numFmtId="164" fontId="11" fillId="2" borderId="0" applyAlignment="1" pivotButton="0" quotePrefix="0" xfId="1">
      <alignment vertical="center"/>
    </xf>
    <xf numFmtId="164" fontId="12" fillId="2" borderId="0" applyAlignment="1" pivotButton="0" quotePrefix="0" xfId="1">
      <alignment vertical="center"/>
    </xf>
    <xf numFmtId="164" fontId="12" fillId="2" borderId="0" applyAlignment="1" pivotButton="0" quotePrefix="0" xfId="0">
      <alignment vertical="center"/>
    </xf>
    <xf numFmtId="164" fontId="3" fillId="5" borderId="24" applyAlignment="1" pivotButton="0" quotePrefix="0" xfId="0">
      <alignment horizontal="center" vertical="center" shrinkToFit="1"/>
    </xf>
    <xf numFmtId="164" fontId="3" fillId="5" borderId="25" applyAlignment="1" pivotButton="0" quotePrefix="0" xfId="0">
      <alignment horizontal="center" vertical="center" shrinkToFit="1"/>
    </xf>
    <xf numFmtId="164" fontId="3" fillId="5" borderId="28" applyAlignment="1" pivotButton="0" quotePrefix="0" xfId="0">
      <alignment horizontal="center" vertical="center" shrinkToFit="1"/>
    </xf>
    <xf numFmtId="164" fontId="3" fillId="7" borderId="24" applyAlignment="1" pivotButton="0" quotePrefix="0" xfId="0">
      <alignment horizontal="center" vertical="center" shrinkToFit="1"/>
    </xf>
    <xf numFmtId="164" fontId="3" fillId="7" borderId="28" applyAlignment="1" pivotButton="0" quotePrefix="0" xfId="0">
      <alignment horizontal="center" vertical="center" shrinkToFit="1"/>
    </xf>
    <xf numFmtId="164" fontId="3" fillId="2" borderId="47" applyAlignment="1" pivotButton="0" quotePrefix="0" xfId="0">
      <alignment horizontal="center" vertical="center" shrinkToFit="1"/>
    </xf>
    <xf numFmtId="164" fontId="3" fillId="2" borderId="42" applyAlignment="1" pivotButton="0" quotePrefix="0" xfId="0">
      <alignment horizontal="center" vertical="center" shrinkToFit="1"/>
    </xf>
    <xf numFmtId="164" fontId="3" fillId="4" borderId="24" applyAlignment="1" pivotButton="0" quotePrefix="0" xfId="0">
      <alignment horizontal="center" vertical="center" shrinkToFit="1"/>
    </xf>
    <xf numFmtId="164" fontId="3" fillId="4" borderId="28" applyAlignment="1" pivotButton="0" quotePrefix="0" xfId="0">
      <alignment horizontal="center" vertical="center" shrinkToFit="1"/>
    </xf>
    <xf numFmtId="164" fontId="3" fillId="2" borderId="23" applyAlignment="1" pivotButton="0" quotePrefix="0" xfId="0">
      <alignment horizontal="center" vertical="center" wrapText="1"/>
    </xf>
    <xf numFmtId="164" fontId="3" fillId="2" borderId="21" applyAlignment="1" pivotButton="0" quotePrefix="0" xfId="0">
      <alignment horizontal="center" vertical="center" wrapText="1"/>
    </xf>
    <xf numFmtId="164" fontId="3" fillId="0" borderId="29" applyAlignment="1" pivotButton="0" quotePrefix="0" xfId="0">
      <alignment horizontal="center" vertical="center" wrapText="1"/>
    </xf>
    <xf numFmtId="164" fontId="3" fillId="0" borderId="30" applyAlignment="1" pivotButton="0" quotePrefix="0" xfId="0">
      <alignment horizontal="center" vertical="center" wrapText="1"/>
    </xf>
    <xf numFmtId="164" fontId="3" fillId="0" borderId="31" applyAlignment="1" pivotButton="0" quotePrefix="0" xfId="0">
      <alignment horizontal="center" vertical="center" wrapText="1"/>
    </xf>
    <xf numFmtId="164" fontId="3" fillId="2" borderId="47" applyAlignment="1" pivotButton="0" quotePrefix="0" xfId="0">
      <alignment horizontal="center" vertical="center" wrapText="1"/>
    </xf>
    <xf numFmtId="164" fontId="3" fillId="2" borderId="42" applyAlignment="1" pivotButton="0" quotePrefix="0" xfId="0">
      <alignment horizontal="center" vertical="center" wrapText="1"/>
    </xf>
    <xf numFmtId="164" fontId="3" fillId="6" borderId="47" applyAlignment="1" pivotButton="0" quotePrefix="0" xfId="0">
      <alignment horizontal="center" vertical="center" shrinkToFit="1"/>
    </xf>
    <xf numFmtId="164" fontId="3" fillId="6" borderId="49" applyAlignment="1" pivotButton="0" quotePrefix="0" xfId="0">
      <alignment horizontal="center" vertical="center" shrinkToFit="1"/>
    </xf>
    <xf numFmtId="164" fontId="13" fillId="2" borderId="0" applyAlignment="1" pivotButton="0" quotePrefix="0" xfId="0">
      <alignment horizontal="center" vertical="center"/>
    </xf>
    <xf numFmtId="164" fontId="4" fillId="2" borderId="37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8" applyAlignment="1" pivotButton="0" quotePrefix="0" xfId="0">
      <alignment horizontal="center" vertical="center" wrapText="1"/>
    </xf>
    <xf numFmtId="164" fontId="3" fillId="5" borderId="2" applyAlignment="1" pivotButton="0" quotePrefix="0" xfId="0">
      <alignment horizontal="center" vertical="center" wrapText="1"/>
    </xf>
    <xf numFmtId="164" fontId="3" fillId="3" borderId="18" applyAlignment="1" pivotButton="0" quotePrefix="0" xfId="0">
      <alignment horizontal="center" vertical="center" shrinkToFit="1"/>
    </xf>
    <xf numFmtId="164" fontId="3" fillId="3" borderId="5" applyAlignment="1" pivotButton="0" quotePrefix="0" xfId="0">
      <alignment horizontal="center" vertical="center" shrinkToFit="1"/>
    </xf>
    <xf numFmtId="164" fontId="3" fillId="3" borderId="39" applyAlignment="1" pivotButton="0" quotePrefix="0" xfId="0">
      <alignment horizontal="center" vertical="center" shrinkToFit="1"/>
    </xf>
    <xf numFmtId="164" fontId="3" fillId="2" borderId="0" applyAlignment="1" pivotButton="0" quotePrefix="0" xfId="0">
      <alignment horizontal="center" vertical="center" shrinkToFit="1"/>
    </xf>
    <xf numFmtId="164" fontId="3" fillId="6" borderId="25" applyAlignment="1" pivotButton="0" quotePrefix="0" xfId="0">
      <alignment horizontal="center" vertical="center" shrinkToFit="1"/>
    </xf>
    <xf numFmtId="164" fontId="3" fillId="6" borderId="28" applyAlignment="1" pivotButton="0" quotePrefix="0" xfId="0">
      <alignment horizontal="center" vertical="center" shrinkToFit="1"/>
    </xf>
    <xf numFmtId="164" fontId="3" fillId="5" borderId="26" applyAlignment="1" pivotButton="0" quotePrefix="0" xfId="0">
      <alignment horizontal="center" vertical="center" shrinkToFit="1"/>
    </xf>
    <xf numFmtId="164" fontId="3" fillId="5" borderId="27" applyAlignment="1" pivotButton="0" quotePrefix="0" xfId="0">
      <alignment horizontal="center" vertical="center" shrinkToFit="1"/>
    </xf>
    <xf numFmtId="164" fontId="18" fillId="6" borderId="24" applyAlignment="1" pivotButton="0" quotePrefix="0" xfId="0">
      <alignment horizontal="center" vertical="center" shrinkToFit="1"/>
    </xf>
    <xf numFmtId="164" fontId="18" fillId="6" borderId="25" applyAlignment="1" pivotButton="0" quotePrefix="0" xfId="0">
      <alignment horizontal="center" vertical="center" shrinkToFit="1"/>
    </xf>
    <xf numFmtId="164" fontId="18" fillId="6" borderId="28" applyAlignment="1" pivotButton="0" quotePrefix="0" xfId="0">
      <alignment horizontal="center" vertical="center" shrinkToFit="1"/>
    </xf>
    <xf numFmtId="164" fontId="4" fillId="2" borderId="50" applyAlignment="1" pivotButton="0" quotePrefix="0" xfId="0">
      <alignment horizontal="center" vertical="center" shrinkToFit="1"/>
    </xf>
    <xf numFmtId="164" fontId="4" fillId="2" borderId="18" applyAlignment="1" pivotButton="0" quotePrefix="0" xfId="0">
      <alignment horizontal="center" vertical="center" shrinkToFit="1"/>
    </xf>
    <xf numFmtId="164" fontId="4" fillId="2" borderId="2" applyAlignment="1" pivotButton="0" quotePrefix="0" xfId="0">
      <alignment horizontal="center" vertical="center" shrinkToFit="1"/>
    </xf>
    <xf numFmtId="164" fontId="3" fillId="6" borderId="26" applyAlignment="1" pivotButton="0" quotePrefix="0" xfId="0">
      <alignment horizontal="center" vertical="center" shrinkToFit="1"/>
    </xf>
    <xf numFmtId="164" fontId="3" fillId="6" borderId="27" applyAlignment="1" pivotButton="0" quotePrefix="0" xfId="0">
      <alignment horizontal="center" vertical="center" shrinkToFit="1"/>
    </xf>
    <xf numFmtId="164" fontId="4" fillId="2" borderId="35" applyAlignment="1" pivotButton="0" quotePrefix="0" xfId="0">
      <alignment horizontal="center" vertical="center" shrinkToFit="1"/>
    </xf>
    <xf numFmtId="164" fontId="4" fillId="2" borderId="3" applyAlignment="1" pivotButton="0" quotePrefix="0" xfId="0">
      <alignment horizontal="center" vertical="center" shrinkToFit="1"/>
    </xf>
    <xf numFmtId="164" fontId="3" fillId="4" borderId="1" applyAlignment="1" pivotButton="0" quotePrefix="0" xfId="0">
      <alignment horizontal="center" vertical="center" shrinkToFit="1"/>
    </xf>
    <xf numFmtId="164" fontId="3" fillId="4" borderId="2" applyAlignment="1" pivotButton="0" quotePrefix="0" xfId="0">
      <alignment horizontal="center" vertical="center" shrinkToFit="1"/>
    </xf>
    <xf numFmtId="164" fontId="3" fillId="2" borderId="19" applyAlignment="1" pivotButton="0" quotePrefix="0" xfId="0">
      <alignment horizontal="center" vertical="center" wrapText="1"/>
    </xf>
    <xf numFmtId="164" fontId="3" fillId="2" borderId="20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 shrinkToFit="1"/>
    </xf>
    <xf numFmtId="164" fontId="3" fillId="2" borderId="20" applyAlignment="1" pivotButton="0" quotePrefix="0" xfId="0">
      <alignment horizontal="center" vertical="center" wrapText="1" shrinkToFit="1"/>
    </xf>
    <xf numFmtId="164" fontId="3" fillId="2" borderId="22" applyAlignment="1" pivotButton="0" quotePrefix="0" xfId="0">
      <alignment horizontal="center" vertical="center" wrapText="1" shrinkToFit="1"/>
    </xf>
    <xf numFmtId="164" fontId="3" fillId="5" borderId="3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shrinkToFit="1"/>
    </xf>
    <xf numFmtId="164" fontId="3" fillId="3" borderId="2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shrinkToFit="1"/>
    </xf>
    <xf numFmtId="164" fontId="4" fillId="0" borderId="0" applyAlignment="1" pivotButton="0" quotePrefix="0" xfId="0">
      <alignment vertical="center" shrinkToFit="1"/>
    </xf>
    <xf numFmtId="164" fontId="20" fillId="0" borderId="0" applyAlignment="1" pivotButton="0" quotePrefix="0" xfId="0">
      <alignment vertical="center"/>
    </xf>
    <xf numFmtId="164" fontId="13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4" fontId="7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vertical="center"/>
    </xf>
    <xf numFmtId="164" fontId="4" fillId="2" borderId="37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0" pivotButton="0" quotePrefix="0" xfId="0"/>
    <xf numFmtId="164" fontId="3" fillId="5" borderId="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" pivotButton="0" quotePrefix="0" xfId="0"/>
    <xf numFmtId="164" fontId="3" fillId="5" borderId="12" applyAlignment="1" pivotButton="0" quotePrefix="0" xfId="1">
      <alignment vertical="center" shrinkToFit="1"/>
    </xf>
    <xf numFmtId="164" fontId="4" fillId="0" borderId="0" applyAlignment="1" pivotButton="0" quotePrefix="0" xfId="0">
      <alignment horizontal="center" vertical="center"/>
    </xf>
    <xf numFmtId="164" fontId="3" fillId="3" borderId="4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 shrinkToFit="1"/>
    </xf>
    <xf numFmtId="164" fontId="3" fillId="3" borderId="12" applyAlignment="1" pivotButton="0" quotePrefix="0" xfId="1">
      <alignment horizontal="center" vertical="center" shrinkToFit="1"/>
    </xf>
    <xf numFmtId="164" fontId="3" fillId="3" borderId="40" applyAlignment="1" pivotButton="0" quotePrefix="0" xfId="1">
      <alignment horizontal="center" vertical="center" shrinkToFit="1"/>
    </xf>
    <xf numFmtId="164" fontId="3" fillId="3" borderId="3" applyAlignment="1" pivotButton="0" quotePrefix="0" xfId="1">
      <alignment horizontal="center" vertical="center" shrinkToFit="1"/>
    </xf>
    <xf numFmtId="164" fontId="3" fillId="0" borderId="51" applyAlignment="1" pivotButton="0" quotePrefix="0" xfId="0">
      <alignment horizontal="center" vertical="center" wrapText="1"/>
    </xf>
    <xf numFmtId="164" fontId="3" fillId="0" borderId="41" applyAlignment="1" pivotButton="0" quotePrefix="0" xfId="0">
      <alignment horizontal="center" vertical="center" wrapText="1"/>
    </xf>
    <xf numFmtId="164" fontId="3" fillId="7" borderId="26" applyAlignment="1" pivotButton="0" quotePrefix="0" xfId="0">
      <alignment horizontal="center" vertical="center" shrinkToFit="1"/>
    </xf>
    <xf numFmtId="0" fontId="0" fillId="0" borderId="28" pivotButton="0" quotePrefix="0" xfId="0"/>
    <xf numFmtId="164" fontId="3" fillId="7" borderId="34" applyAlignment="1" pivotButton="0" quotePrefix="0" xfId="1">
      <alignment vertical="center" shrinkToFit="1"/>
    </xf>
    <xf numFmtId="164" fontId="4" fillId="7" borderId="32" applyAlignment="1" pivotButton="0" quotePrefix="0" xfId="1">
      <alignment horizontal="center" vertical="center" shrinkToFit="1"/>
    </xf>
    <xf numFmtId="0" fontId="0" fillId="0" borderId="30" pivotButton="0" quotePrefix="0" xfId="0"/>
    <xf numFmtId="164" fontId="3" fillId="0" borderId="0" applyAlignment="1" pivotButton="0" quotePrefix="0" xfId="0">
      <alignment horizontal="center" vertical="center" wrapText="1"/>
    </xf>
    <xf numFmtId="164" fontId="3" fillId="2" borderId="19" applyAlignment="1" pivotButton="0" quotePrefix="0" xfId="0">
      <alignment horizontal="center" vertical="center" wrapText="1"/>
    </xf>
    <xf numFmtId="164" fontId="4" fillId="2" borderId="8" applyAlignment="1" pivotButton="0" quotePrefix="0" xfId="0">
      <alignment horizontal="center" vertical="center" shrinkToFit="1"/>
    </xf>
    <xf numFmtId="164" fontId="3" fillId="2" borderId="13" applyAlignment="1" pivotButton="0" quotePrefix="0" xfId="1">
      <alignment vertical="center" shrinkToFit="1"/>
    </xf>
    <xf numFmtId="164" fontId="4" fillId="2" borderId="6" applyAlignment="1" pivotButton="0" quotePrefix="0" xfId="1">
      <alignment vertical="center" shrinkToFit="1"/>
    </xf>
    <xf numFmtId="164" fontId="4" fillId="2" borderId="9" applyAlignment="1" pivotButton="0" quotePrefix="0" xfId="0">
      <alignment horizontal="center" vertical="center" shrinkToFit="1"/>
    </xf>
    <xf numFmtId="164" fontId="3" fillId="2" borderId="14" applyAlignment="1" pivotButton="0" quotePrefix="0" xfId="1">
      <alignment vertical="center" shrinkToFit="1"/>
    </xf>
    <xf numFmtId="164" fontId="4" fillId="2" borderId="7" applyAlignment="1" pivotButton="0" quotePrefix="0" xfId="1">
      <alignment vertical="center" shrinkToFit="1"/>
    </xf>
    <xf numFmtId="164" fontId="3" fillId="0" borderId="46" applyAlignment="1" pivotButton="0" quotePrefix="0" xfId="0">
      <alignment horizontal="center" vertical="center" wrapText="1"/>
    </xf>
    <xf numFmtId="0" fontId="0" fillId="0" borderId="23" pivotButton="0" quotePrefix="0" xfId="0"/>
    <xf numFmtId="164" fontId="3" fillId="0" borderId="30" applyAlignment="1" pivotButton="0" quotePrefix="0" xfId="0">
      <alignment horizontal="center" vertical="center" wrapText="1"/>
    </xf>
    <xf numFmtId="164" fontId="3" fillId="2" borderId="21" applyAlignment="1" pivotButton="0" quotePrefix="0" xfId="0">
      <alignment horizontal="center" vertical="center" wrapText="1"/>
    </xf>
    <xf numFmtId="164" fontId="11" fillId="8" borderId="14" applyAlignment="1" pivotButton="0" quotePrefix="0" xfId="1">
      <alignment vertical="center" shrinkToFit="1"/>
    </xf>
    <xf numFmtId="164" fontId="3" fillId="8" borderId="14" applyAlignment="1" pivotButton="0" quotePrefix="0" xfId="1">
      <alignment vertical="center" shrinkToFit="1"/>
    </xf>
    <xf numFmtId="164" fontId="4" fillId="8" borderId="7" applyAlignment="1" pivotButton="0" quotePrefix="0" xfId="1">
      <alignment vertical="center" shrinkToFit="1"/>
    </xf>
    <xf numFmtId="164" fontId="17" fillId="2" borderId="16" applyAlignment="1" pivotButton="0" quotePrefix="0" xfId="0">
      <alignment horizontal="center" vertical="center" shrinkToFit="1"/>
    </xf>
    <xf numFmtId="164" fontId="3" fillId="2" borderId="17" applyAlignment="1" pivotButton="0" quotePrefix="0" xfId="1">
      <alignment vertical="center" shrinkToFit="1"/>
    </xf>
    <xf numFmtId="164" fontId="4" fillId="2" borderId="11" applyAlignment="1" pivotButton="0" quotePrefix="0" xfId="1">
      <alignment vertical="center" shrinkToFit="1"/>
    </xf>
    <xf numFmtId="164" fontId="3" fillId="2" borderId="0" applyAlignment="1" pivotButton="0" quotePrefix="0" xfId="0">
      <alignment horizontal="center" vertical="center" wrapText="1"/>
    </xf>
    <xf numFmtId="164" fontId="3" fillId="2" borderId="23" applyAlignment="1" pivotButton="0" quotePrefix="0" xfId="0">
      <alignment horizontal="center" vertical="center" wrapText="1"/>
    </xf>
    <xf numFmtId="0" fontId="0" fillId="0" borderId="31" pivotButton="0" quotePrefix="0" xfId="0"/>
    <xf numFmtId="164" fontId="3" fillId="6" borderId="26" applyAlignment="1" pivotButton="0" quotePrefix="0" xfId="0">
      <alignment horizontal="center" vertical="center" shrinkToFit="1"/>
    </xf>
    <xf numFmtId="0" fontId="0" fillId="0" borderId="25" pivotButton="0" quotePrefix="0" xfId="0"/>
    <xf numFmtId="164" fontId="3" fillId="6" borderId="27" applyAlignment="1" pivotButton="0" quotePrefix="0" xfId="1">
      <alignment vertical="center" shrinkToFit="1"/>
    </xf>
    <xf numFmtId="164" fontId="4" fillId="6" borderId="32" applyAlignment="1" pivotButton="0" quotePrefix="0" xfId="1">
      <alignment horizontal="center" vertical="center" shrinkToFit="1"/>
    </xf>
    <xf numFmtId="164" fontId="3" fillId="0" borderId="38" applyAlignment="1" pivotButton="0" quotePrefix="0" xfId="0">
      <alignment horizontal="center" vertical="center" wrapText="1"/>
    </xf>
    <xf numFmtId="164" fontId="3" fillId="4" borderId="3" applyAlignment="1" pivotButton="0" quotePrefix="0" xfId="0">
      <alignment horizontal="center" vertical="center" shrinkToFit="1"/>
    </xf>
    <xf numFmtId="164" fontId="3" fillId="4" borderId="12" applyAlignment="1" pivotButton="0" quotePrefix="0" xfId="1">
      <alignment vertical="center" shrinkToFit="1"/>
    </xf>
    <xf numFmtId="164" fontId="4" fillId="4" borderId="3" applyAlignment="1" pivotButton="0" quotePrefix="0" xfId="1">
      <alignment vertical="center" shrinkToFit="1"/>
    </xf>
    <xf numFmtId="164" fontId="17" fillId="2" borderId="8" applyAlignment="1" pivotButton="0" quotePrefix="0" xfId="0">
      <alignment horizontal="center" vertical="center" shrinkToFit="1"/>
    </xf>
    <xf numFmtId="164" fontId="4" fillId="2" borderId="10" applyAlignment="1" pivotButton="0" quotePrefix="0" xfId="0">
      <alignment horizontal="center" vertical="center" shrinkToFit="1"/>
    </xf>
    <xf numFmtId="164" fontId="3" fillId="2" borderId="15" applyAlignment="1" pivotButton="0" quotePrefix="0" xfId="1">
      <alignment vertical="center" shrinkToFit="1"/>
    </xf>
    <xf numFmtId="164" fontId="3" fillId="4" borderId="3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 shrinkToFit="1"/>
    </xf>
    <xf numFmtId="164" fontId="4" fillId="0" borderId="8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4" fontId="4" fillId="2" borderId="8" applyAlignment="1" pivotButton="0" quotePrefix="0" xfId="0">
      <alignment horizontal="center" vertical="center"/>
    </xf>
    <xf numFmtId="164" fontId="4" fillId="2" borderId="9" applyAlignment="1" pivotButton="0" quotePrefix="0" xfId="0">
      <alignment horizontal="center" vertical="center"/>
    </xf>
    <xf numFmtId="164" fontId="4" fillId="2" borderId="16" applyAlignment="1" pivotButton="0" quotePrefix="0" xfId="0">
      <alignment horizontal="center" vertical="center" shrinkToFit="1"/>
    </xf>
    <xf numFmtId="164" fontId="3" fillId="0" borderId="0" applyAlignment="1" pivotButton="0" quotePrefix="0" xfId="0">
      <alignment vertical="center"/>
    </xf>
    <xf numFmtId="164" fontId="3" fillId="5" borderId="26" applyAlignment="1" pivotButton="0" quotePrefix="0" xfId="0">
      <alignment horizontal="center" vertical="center" shrinkToFit="1"/>
    </xf>
    <xf numFmtId="164" fontId="3" fillId="5" borderId="34" applyAlignment="1" pivotButton="0" quotePrefix="0" xfId="1">
      <alignment vertical="center" shrinkToFit="1"/>
    </xf>
    <xf numFmtId="164" fontId="4" fillId="5" borderId="32" applyAlignment="1" pivotButton="0" quotePrefix="0" xfId="1">
      <alignment vertical="center" shrinkToFit="1"/>
    </xf>
    <xf numFmtId="164" fontId="18" fillId="6" borderId="26" applyAlignment="1" pivotButton="0" quotePrefix="0" xfId="0">
      <alignment horizontal="center" vertical="center" shrinkToFit="1"/>
    </xf>
    <xf numFmtId="164" fontId="11" fillId="6" borderId="33" applyAlignment="1" pivotButton="0" quotePrefix="0" xfId="1">
      <alignment vertical="center" shrinkToFit="1"/>
    </xf>
    <xf numFmtId="164" fontId="11" fillId="6" borderId="34" applyAlignment="1" pivotButton="0" quotePrefix="0" xfId="1">
      <alignment vertical="center" shrinkToFit="1"/>
    </xf>
    <xf numFmtId="164" fontId="12" fillId="6" borderId="32" applyAlignment="1" pivotButton="0" quotePrefix="0" xfId="1">
      <alignment horizontal="center" vertical="center" shrinkToFit="1"/>
    </xf>
    <xf numFmtId="164" fontId="4" fillId="0" borderId="36" applyAlignment="1" pivotButton="0" quotePrefix="0" xfId="0">
      <alignment horizontal="center" vertical="center"/>
    </xf>
    <xf numFmtId="164" fontId="3" fillId="0" borderId="36" applyAlignment="1" pivotButton="0" quotePrefix="0" xfId="1">
      <alignment vertical="center" shrinkToFit="1"/>
    </xf>
    <xf numFmtId="164" fontId="4" fillId="0" borderId="36" applyAlignment="1" pivotButton="0" quotePrefix="0" xfId="1">
      <alignment vertical="center" shrinkToFit="1"/>
    </xf>
    <xf numFmtId="164" fontId="4" fillId="2" borderId="35" applyAlignment="1" pivotButton="0" quotePrefix="0" xfId="0">
      <alignment horizontal="center" vertical="center" shrinkToFit="1"/>
    </xf>
    <xf numFmtId="164" fontId="3" fillId="8" borderId="12" applyAlignment="1" pivotButton="0" quotePrefix="0" xfId="1">
      <alignment vertical="center" shrinkToFit="1"/>
    </xf>
    <xf numFmtId="164" fontId="3" fillId="2" borderId="12" applyAlignment="1" pivotButton="0" quotePrefix="0" xfId="1">
      <alignment vertical="center" shrinkToFit="1"/>
    </xf>
    <xf numFmtId="164" fontId="4" fillId="2" borderId="3" applyAlignment="1" pivotButton="0" quotePrefix="0" xfId="1">
      <alignment vertical="center" shrinkToFit="1"/>
    </xf>
    <xf numFmtId="164" fontId="3" fillId="8" borderId="3" applyAlignment="1" pivotButton="0" quotePrefix="0" xfId="1">
      <alignment vertical="center" shrinkToFit="1"/>
    </xf>
    <xf numFmtId="164" fontId="3" fillId="2" borderId="3" applyAlignment="1" pivotButton="0" quotePrefix="0" xfId="1">
      <alignment vertical="center" shrinkToFit="1"/>
    </xf>
    <xf numFmtId="164" fontId="4" fillId="0" borderId="25" applyAlignment="1" pivotButton="0" quotePrefix="0" xfId="0">
      <alignment horizontal="center" vertical="center"/>
    </xf>
    <xf numFmtId="164" fontId="3" fillId="0" borderId="25" applyAlignment="1" pivotButton="0" quotePrefix="0" xfId="1">
      <alignment vertical="center" shrinkToFit="1"/>
    </xf>
    <xf numFmtId="164" fontId="4" fillId="0" borderId="25" applyAlignment="1" pivotButton="0" quotePrefix="0" xfId="1">
      <alignment vertical="center" shrinkToFit="1"/>
    </xf>
    <xf numFmtId="164" fontId="12" fillId="2" borderId="0" applyAlignment="1" pivotButton="0" quotePrefix="0" xfId="0">
      <alignment vertical="center"/>
    </xf>
    <xf numFmtId="164" fontId="12" fillId="2" borderId="0" applyAlignment="1" pivotButton="0" quotePrefix="0" xfId="1">
      <alignment vertical="center"/>
    </xf>
    <xf numFmtId="164" fontId="11" fillId="2" borderId="0" applyAlignment="1" pivotButton="0" quotePrefix="0" xfId="0">
      <alignment vertical="center"/>
    </xf>
    <xf numFmtId="164" fontId="11" fillId="2" borderId="0" applyAlignment="1" pivotButton="0" quotePrefix="0" xfId="1">
      <alignment vertical="center"/>
    </xf>
    <xf numFmtId="164" fontId="21" fillId="0" borderId="0" applyAlignment="1" pivotButton="0" quotePrefix="0" xfId="0">
      <alignment vertical="center"/>
    </xf>
    <xf numFmtId="164" fontId="21" fillId="2" borderId="0" applyAlignment="1" pivotButton="0" quotePrefix="0" xfId="0">
      <alignment vertical="center"/>
    </xf>
    <xf numFmtId="164" fontId="3" fillId="3" borderId="2" applyAlignment="1" pivotButton="0" quotePrefix="0" xfId="0">
      <alignment horizontal="center" vertical="center" shrinkToFit="1"/>
    </xf>
    <xf numFmtId="164" fontId="3" fillId="3" borderId="4" applyAlignment="1" pivotButton="0" quotePrefix="0" xfId="1">
      <alignment horizontal="center" vertical="center" shrinkToFit="1"/>
    </xf>
    <xf numFmtId="164" fontId="4" fillId="2" borderId="43" applyAlignment="1" pivotButton="0" quotePrefix="0" xfId="0">
      <alignment horizontal="center" vertical="center" shrinkToFit="1"/>
    </xf>
    <xf numFmtId="164" fontId="3" fillId="8" borderId="44" applyAlignment="1" pivotButton="0" quotePrefix="0" xfId="1">
      <alignment vertical="center" shrinkToFit="1"/>
    </xf>
    <xf numFmtId="164" fontId="4" fillId="2" borderId="45" applyAlignment="1" pivotButton="0" quotePrefix="0" xfId="1">
      <alignment vertical="center" shrinkToFit="1"/>
    </xf>
    <xf numFmtId="164" fontId="3" fillId="2" borderId="52" applyAlignment="1" pivotButton="0" quotePrefix="0" xfId="0">
      <alignment horizontal="center" vertical="center" shrinkToFit="1"/>
    </xf>
    <xf numFmtId="0" fontId="0" fillId="0" borderId="42" pivotButton="0" quotePrefix="0" xfId="0"/>
    <xf numFmtId="164" fontId="3" fillId="2" borderId="44" applyAlignment="1" pivotButton="0" quotePrefix="0" xfId="1">
      <alignment vertical="center" shrinkToFit="1"/>
    </xf>
    <xf numFmtId="164" fontId="3" fillId="6" borderId="28" applyAlignment="1" pivotButton="0" quotePrefix="0" xfId="0">
      <alignment horizontal="center" vertical="center" shrinkToFit="1"/>
    </xf>
    <xf numFmtId="164" fontId="3" fillId="6" borderId="34" applyAlignment="1" pivotButton="0" quotePrefix="0" xfId="1">
      <alignment vertical="center" shrinkToFit="1"/>
    </xf>
    <xf numFmtId="164" fontId="4" fillId="6" borderId="32" applyAlignment="1" pivotButton="0" quotePrefix="0" xfId="1">
      <alignment vertical="center" shrinkToFit="1"/>
    </xf>
    <xf numFmtId="164" fontId="3" fillId="0" borderId="48" applyAlignment="1" pivotButton="0" quotePrefix="0" xfId="0">
      <alignment horizontal="center" vertical="center" wrapText="1"/>
    </xf>
    <xf numFmtId="164" fontId="3" fillId="4" borderId="26" applyAlignment="1" pivotButton="0" quotePrefix="0" xfId="0">
      <alignment horizontal="center" vertical="center" shrinkToFit="1"/>
    </xf>
    <xf numFmtId="164" fontId="3" fillId="4" borderId="34" applyAlignment="1" pivotButton="0" quotePrefix="0" xfId="1">
      <alignment vertical="center" shrinkToFit="1"/>
    </xf>
    <xf numFmtId="164" fontId="4" fillId="4" borderId="32" applyAlignment="1" pivotButton="0" quotePrefix="0" xfId="1">
      <alignment vertical="center" shrinkToFit="1"/>
    </xf>
    <xf numFmtId="164" fontId="3" fillId="2" borderId="52" applyAlignment="1" pivotButton="0" quotePrefix="0" xfId="0">
      <alignment horizontal="center" vertical="center" wrapText="1"/>
    </xf>
    <xf numFmtId="164" fontId="4" fillId="2" borderId="43" applyAlignment="1" pivotButton="0" quotePrefix="0" xfId="0">
      <alignment horizontal="center" vertical="center"/>
    </xf>
    <xf numFmtId="164" fontId="3" fillId="6" borderId="49" applyAlignment="1" pivotButton="0" quotePrefix="0" xfId="0">
      <alignment horizontal="center" vertical="center" shrinkToFit="1"/>
    </xf>
    <xf numFmtId="0" fontId="0" fillId="0" borderId="47" pivotButton="0" quotePrefix="0" xfId="0"/>
    <xf numFmtId="0" fontId="0" fillId="0" borderId="49" pivotButton="0" quotePrefix="0" xfId="0"/>
    <xf numFmtId="164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 shrinkToFit="1"/>
    </xf>
    <xf numFmtId="164" fontId="3" fillId="2" borderId="0" applyAlignment="1" pivotButton="0" quotePrefix="0" xfId="1">
      <alignment vertical="center" shrinkToFit="1"/>
    </xf>
    <xf numFmtId="164" fontId="4" fillId="2" borderId="0" applyAlignment="1" pivotButton="0" quotePrefix="0" xfId="1">
      <alignment vertical="center" shrinkToFi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pjs</author>
    <author>기획예산</author>
  </authors>
  <commentList>
    <comment ref="D28" authorId="0" shapeId="0">
      <text>
        <t xml:space="preserve">협력부속병원근무자외 교원에 대한 전체금액 기재 *예결산서의 비등록금회계에 배정된 값도 가져옴
</t>
      </text>
    </comment>
    <comment ref="D29" authorId="0" shapeId="0">
      <text>
        <t xml:space="preserve">급여+수당
</t>
      </text>
    </comment>
    <comment ref="D31" authorId="0" shapeId="0">
      <text>
        <t>교원+직원</t>
      </text>
    </comment>
    <comment ref="D32" authorId="0" shapeId="0">
      <text>
        <t xml:space="preserve">시간+특별
</t>
      </text>
    </comment>
    <comment ref="J39" authorId="0" shapeId="0">
      <text>
        <t>학부등록금의 19.55%</t>
      </text>
    </comment>
    <comment ref="J40" authorId="1" shapeId="0">
      <text>
        <t>기획예산:
15.8%</t>
      </text>
    </comment>
    <comment ref="E53" authorId="0" shapeId="0">
      <text>
        <t xml:space="preserve">pjs:
과학관42, 동교동200매입 5
</t>
      </text>
    </comment>
    <comment ref="J55" authorId="0" shapeId="0">
      <text>
        <t xml:space="preserve">적립금 활용
미래관 건축 비용 22억원
나머지 7억원은 기타자금 재원 활용 예정
</t>
      </text>
    </comment>
  </commentList>
</comments>
</file>

<file path=xl/comments/comment2.xml><?xml version="1.0" encoding="utf-8"?>
<comments xmlns="http://schemas.openxmlformats.org/spreadsheetml/2006/main">
  <authors>
    <author>pjs</author>
  </authors>
  <commentList>
    <comment ref="E13" authorId="0" shapeId="0">
      <text>
        <t>pjs:
잡수입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tabSelected="1" zoomScale="115" zoomScaleNormal="11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1" sqref="A1:M1"/>
    </sheetView>
  </sheetViews>
  <sheetFormatPr baseColWidth="8" defaultRowHeight="20.1" customHeight="1"/>
  <cols>
    <col width="5.375" customWidth="1" style="142" min="1" max="1"/>
    <col width="2.625" customWidth="1" style="142" min="2" max="3"/>
    <col width="23.625" customWidth="1" style="142" min="4" max="4"/>
    <col width="8.625" customWidth="1" style="143" min="5" max="12"/>
    <col width="9.625" customWidth="1" style="144" min="13" max="13"/>
    <col width="2.75" customWidth="1" style="142" min="14" max="14"/>
    <col width="9.625" customWidth="1" style="142" min="15" max="22"/>
    <col width="9" customWidth="1" style="142" min="23" max="16384"/>
  </cols>
  <sheetData>
    <row r="1" ht="20.1" customFormat="1" customHeight="1" s="145">
      <c r="A1" s="146" t="inlineStr">
        <is>
          <t>1. 대학 등록금등자금 수지(목적자금제외)(이사회 양식) 26.3.6.안</t>
        </is>
      </c>
    </row>
    <row r="2" ht="20.1" customFormat="1" customHeight="1" s="147">
      <c r="A2" s="148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</row>
    <row r="3" ht="20.1" customFormat="1" customHeight="1" s="147">
      <c r="A3" s="149" t="n"/>
      <c r="B3" s="148" t="n"/>
      <c r="C3" s="148" t="n"/>
      <c r="D3" s="148" t="n"/>
      <c r="E3" s="148" t="n"/>
      <c r="F3" s="148" t="n"/>
      <c r="G3" s="148" t="n"/>
      <c r="H3" s="148" t="n"/>
      <c r="I3" s="148" t="n"/>
      <c r="J3" s="148" t="n"/>
      <c r="K3" s="148" t="n"/>
      <c r="L3" s="150" t="inlineStr">
        <is>
          <t>(단위:억원)</t>
        </is>
      </c>
      <c r="M3" s="151" t="n"/>
    </row>
    <row r="4" ht="20.1" customHeight="1" s="152">
      <c r="A4" s="153" t="inlineStr">
        <is>
          <t>전기 이월 A</t>
        </is>
      </c>
      <c r="B4" s="154" t="n"/>
      <c r="C4" s="154" t="n"/>
      <c r="D4" s="155" t="n"/>
      <c r="E4" s="156" t="n"/>
      <c r="F4" s="156" t="n">
        <v>-27</v>
      </c>
      <c r="G4" s="156" t="n">
        <v>-6</v>
      </c>
      <c r="H4" s="156" t="n">
        <v>-49</v>
      </c>
      <c r="I4" s="156" t="n">
        <v>-78</v>
      </c>
      <c r="J4" s="156" t="n">
        <v>-93</v>
      </c>
      <c r="K4" s="156" t="n">
        <v>-114</v>
      </c>
      <c r="L4" s="156" t="n">
        <v>-114</v>
      </c>
      <c r="M4" s="156" t="n"/>
    </row>
    <row r="5" ht="20.1" customHeight="1" s="152"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  <c r="M5" s="157" t="n"/>
    </row>
    <row r="6" ht="20.1" customFormat="1" customHeight="1" s="157" thickBot="1">
      <c r="A6" s="158" t="inlineStr">
        <is>
          <t>구분</t>
        </is>
      </c>
      <c r="B6" s="159" t="inlineStr">
        <is>
          <t>항목</t>
        </is>
      </c>
      <c r="C6" s="154" t="n"/>
      <c r="D6" s="155" t="n"/>
      <c r="E6" s="160" t="inlineStr">
        <is>
          <t>21회계</t>
        </is>
      </c>
      <c r="F6" s="160" t="inlineStr">
        <is>
          <t>22회계</t>
        </is>
      </c>
      <c r="G6" s="160" t="inlineStr">
        <is>
          <t>23회계</t>
        </is>
      </c>
      <c r="H6" s="160" t="inlineStr">
        <is>
          <t>24회계</t>
        </is>
      </c>
      <c r="I6" s="161" t="inlineStr">
        <is>
          <t>25예산</t>
        </is>
      </c>
      <c r="J6" s="161" t="inlineStr">
        <is>
          <t>26예산</t>
        </is>
      </c>
      <c r="K6" s="161" t="inlineStr">
        <is>
          <t>27예산</t>
        </is>
      </c>
      <c r="L6" s="161" t="inlineStr">
        <is>
          <t>28예산</t>
        </is>
      </c>
      <c r="M6" s="162" t="inlineStr">
        <is>
          <t>비고</t>
        </is>
      </c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</row>
    <row r="7" ht="20.1" customHeight="1" s="152" thickBot="1">
      <c r="A7" s="163" t="inlineStr">
        <is>
          <t>경상
수입</t>
        </is>
      </c>
      <c r="B7" s="164" t="n"/>
      <c r="C7" s="165" t="inlineStr">
        <is>
          <t>등록금 수입</t>
        </is>
      </c>
      <c r="D7" s="166" t="n"/>
      <c r="E7" s="167" t="n"/>
      <c r="F7" s="167" t="n"/>
      <c r="G7" s="167" t="n"/>
      <c r="H7" s="167" t="n"/>
      <c r="I7" s="167" t="n"/>
      <c r="J7" s="167" t="n"/>
      <c r="K7" s="167" t="n"/>
      <c r="L7" s="167" t="n"/>
      <c r="M7" s="168" t="n"/>
    </row>
    <row r="8" ht="20.1" customHeight="1" s="152">
      <c r="A8" s="169" t="n"/>
      <c r="B8" s="170" t="n"/>
      <c r="C8" s="171" t="n"/>
      <c r="D8" s="172" t="inlineStr">
        <is>
          <t>학부 수업료</t>
        </is>
      </c>
      <c r="E8" s="173">
        <f>2+148</f>
        <v/>
      </c>
      <c r="F8" s="173" t="inlineStr">
        <is>
          <t>150</t>
        </is>
      </c>
      <c r="G8" s="173" t="inlineStr">
        <is>
          <t>152</t>
        </is>
      </c>
      <c r="H8" s="173" t="inlineStr">
        <is>
          <t>148</t>
        </is>
      </c>
      <c r="I8" s="173" t="inlineStr">
        <is>
          <t>159</t>
        </is>
      </c>
      <c r="J8" s="173" t="inlineStr">
        <is>
          <t>167</t>
        </is>
      </c>
      <c r="K8" s="173" t="n"/>
      <c r="L8" s="173" t="n"/>
      <c r="M8" s="174" t="n"/>
    </row>
    <row r="9" ht="20.1" customHeight="1" s="152">
      <c r="A9" s="169" t="n"/>
      <c r="B9" s="170" t="n"/>
      <c r="D9" s="175" t="inlineStr">
        <is>
          <t>대학원(입학금+수업료)</t>
        </is>
      </c>
      <c r="E9" s="176">
        <f>3+128</f>
        <v/>
      </c>
      <c r="F9" s="176">
        <f>4+136</f>
        <v/>
      </c>
      <c r="G9" s="176">
        <f>3+134</f>
        <v/>
      </c>
      <c r="H9" s="176">
        <f>4+119</f>
        <v/>
      </c>
      <c r="I9" s="176">
        <f>4+139</f>
        <v/>
      </c>
      <c r="J9" s="176">
        <f>4+160</f>
        <v/>
      </c>
      <c r="K9" s="176" t="n"/>
      <c r="L9" s="176" t="n"/>
      <c r="M9" s="177" t="n"/>
    </row>
    <row r="10" ht="20.1" customHeight="1" s="152" thickBot="1">
      <c r="A10" s="169" t="n"/>
      <c r="B10" s="178" t="n"/>
      <c r="C10" s="179" t="n"/>
      <c r="D10" s="175" t="inlineStr">
        <is>
          <t>단기수강료</t>
        </is>
      </c>
      <c r="E10" s="176" t="inlineStr">
        <is>
          <t>0</t>
        </is>
      </c>
      <c r="F10" s="176" t="inlineStr">
        <is>
          <t>0</t>
        </is>
      </c>
      <c r="G10" s="176" t="inlineStr">
        <is>
          <t>1</t>
        </is>
      </c>
      <c r="H10" s="176" t="inlineStr">
        <is>
          <t>1</t>
        </is>
      </c>
      <c r="I10" s="176" t="inlineStr">
        <is>
          <t>4</t>
        </is>
      </c>
      <c r="J10" s="176" t="inlineStr">
        <is>
          <t>11</t>
        </is>
      </c>
      <c r="K10" s="176" t="n"/>
      <c r="L10" s="176" t="n"/>
      <c r="M10" s="177" t="n"/>
    </row>
    <row r="11" ht="20.1" customHeight="1" s="152" thickBot="1">
      <c r="A11" s="169" t="n"/>
      <c r="B11" s="180" t="n"/>
      <c r="C11" s="165" t="inlineStr">
        <is>
          <t>기타 수입</t>
        </is>
      </c>
      <c r="D11" s="166" t="n"/>
      <c r="E11" s="167" t="n"/>
      <c r="F11" s="167" t="n"/>
      <c r="G11" s="167" t="n"/>
      <c r="H11" s="167" t="n"/>
      <c r="I11" s="167" t="n"/>
      <c r="J11" s="167" t="n"/>
      <c r="K11" s="167" t="n"/>
      <c r="L11" s="167" t="n"/>
      <c r="M11" s="168" t="n"/>
    </row>
    <row r="12" ht="20.1" customHeight="1" s="152">
      <c r="A12" s="169" t="n"/>
      <c r="B12" s="170" t="n"/>
      <c r="C12" s="181" t="n"/>
      <c r="D12" s="175" t="inlineStr">
        <is>
          <t>산단전입금</t>
        </is>
      </c>
      <c r="E12" s="176" t="inlineStr">
        <is>
          <t>16</t>
        </is>
      </c>
      <c r="F12" s="176" t="inlineStr">
        <is>
          <t>19</t>
        </is>
      </c>
      <c r="G12" s="176" t="inlineStr">
        <is>
          <t>12</t>
        </is>
      </c>
      <c r="H12" s="176" t="inlineStr">
        <is>
          <t>12</t>
        </is>
      </c>
      <c r="I12" s="176" t="inlineStr">
        <is>
          <t>18</t>
        </is>
      </c>
      <c r="J12" s="176" t="inlineStr">
        <is>
          <t>14</t>
        </is>
      </c>
      <c r="K12" s="176" t="n"/>
      <c r="L12" s="176" t="n"/>
      <c r="M12" s="177" t="n"/>
    </row>
    <row r="13" ht="20.1" customHeight="1" s="152">
      <c r="A13" s="169" t="n"/>
      <c r="B13" s="170" t="n"/>
      <c r="D13" s="175" t="inlineStr">
        <is>
          <t>기숙사수입</t>
        </is>
      </c>
      <c r="E13" s="182" t="inlineStr">
        <is>
          <t>10</t>
        </is>
      </c>
      <c r="F13" s="182" t="inlineStr">
        <is>
          <t>11</t>
        </is>
      </c>
      <c r="G13" s="182" t="inlineStr">
        <is>
          <t>11</t>
        </is>
      </c>
      <c r="H13" s="182" t="inlineStr">
        <is>
          <t>11</t>
        </is>
      </c>
      <c r="I13" s="182" t="inlineStr">
        <is>
          <t>11</t>
        </is>
      </c>
      <c r="J13" s="183" t="inlineStr">
        <is>
          <t>11</t>
        </is>
      </c>
      <c r="K13" s="183" t="n"/>
      <c r="L13" s="183" t="n"/>
      <c r="M13" s="184" t="n"/>
    </row>
    <row r="14" ht="20.1" customHeight="1" s="152">
      <c r="A14" s="169" t="n"/>
      <c r="B14" s="170" t="n"/>
      <c r="D14" s="175" t="inlineStr">
        <is>
          <t>대여료및사용료기타</t>
        </is>
      </c>
      <c r="E14" s="182" t="inlineStr">
        <is>
          <t>3</t>
        </is>
      </c>
      <c r="F14" s="182" t="inlineStr">
        <is>
          <t>5</t>
        </is>
      </c>
      <c r="G14" s="182" t="inlineStr">
        <is>
          <t>7</t>
        </is>
      </c>
      <c r="H14" s="182" t="inlineStr">
        <is>
          <t>7</t>
        </is>
      </c>
      <c r="I14" s="182" t="inlineStr">
        <is>
          <t>10</t>
        </is>
      </c>
      <c r="J14" s="183" t="inlineStr">
        <is>
          <t>13</t>
        </is>
      </c>
      <c r="K14" s="183" t="n"/>
      <c r="L14" s="183" t="n"/>
      <c r="M14" s="184" t="n"/>
    </row>
    <row r="15" ht="20.1" customHeight="1" s="152">
      <c r="A15" s="169" t="n"/>
      <c r="B15" s="170" t="n"/>
      <c r="D15" s="175" t="inlineStr">
        <is>
          <t>잡수입</t>
        </is>
      </c>
      <c r="E15" s="176" t="inlineStr">
        <is>
          <t>3</t>
        </is>
      </c>
      <c r="F15" s="176" t="inlineStr">
        <is>
          <t>5</t>
        </is>
      </c>
      <c r="G15" s="176" t="inlineStr">
        <is>
          <t>5</t>
        </is>
      </c>
      <c r="H15" s="176" t="inlineStr">
        <is>
          <t>5</t>
        </is>
      </c>
      <c r="I15" s="176">
        <f>5+1</f>
        <v/>
      </c>
      <c r="J15" s="176" t="inlineStr">
        <is>
          <t>5</t>
        </is>
      </c>
      <c r="K15" s="176" t="n"/>
      <c r="L15" s="176" t="n"/>
      <c r="M15" s="177" t="n"/>
    </row>
    <row r="16" ht="20.1" customHeight="1" s="152">
      <c r="A16" s="169" t="n"/>
      <c r="B16" s="170" t="n"/>
      <c r="D16" s="175" t="inlineStr">
        <is>
          <t>입시수수료</t>
        </is>
      </c>
      <c r="E16" s="176" t="inlineStr">
        <is>
          <t>4</t>
        </is>
      </c>
      <c r="F16" s="176" t="inlineStr">
        <is>
          <t>4</t>
        </is>
      </c>
      <c r="G16" s="176" t="inlineStr">
        <is>
          <t>4</t>
        </is>
      </c>
      <c r="H16" s="176" t="inlineStr">
        <is>
          <t>4</t>
        </is>
      </c>
      <c r="I16" s="176" t="inlineStr">
        <is>
          <t>4</t>
        </is>
      </c>
      <c r="J16" s="176" t="inlineStr">
        <is>
          <t>4</t>
        </is>
      </c>
      <c r="K16" s="176" t="n"/>
      <c r="L16" s="176" t="n"/>
      <c r="M16" s="177" t="n"/>
    </row>
    <row r="17" ht="20.1" customHeight="1" s="152">
      <c r="A17" s="169" t="n"/>
      <c r="B17" s="170" t="n"/>
      <c r="D17" s="175" t="inlineStr">
        <is>
          <t>부속병원전입금</t>
        </is>
      </c>
      <c r="E17" s="176" t="inlineStr">
        <is>
          <t>0</t>
        </is>
      </c>
      <c r="F17" s="176" t="inlineStr">
        <is>
          <t>0</t>
        </is>
      </c>
      <c r="G17" s="176" t="inlineStr">
        <is>
          <t>0</t>
        </is>
      </c>
      <c r="H17" s="176" t="inlineStr">
        <is>
          <t>0</t>
        </is>
      </c>
      <c r="I17" s="176" t="inlineStr">
        <is>
          <t>1</t>
        </is>
      </c>
      <c r="J17" s="176" t="inlineStr">
        <is>
          <t>1</t>
        </is>
      </c>
      <c r="K17" s="176" t="n"/>
      <c r="L17" s="176" t="n"/>
      <c r="M17" s="177" t="n"/>
    </row>
    <row r="18" ht="20.1" customHeight="1" s="152">
      <c r="A18" s="169" t="n"/>
      <c r="B18" s="170" t="n"/>
      <c r="D18" s="185" t="inlineStr">
        <is>
          <t>이자수입</t>
        </is>
      </c>
      <c r="E18" s="186" t="inlineStr">
        <is>
          <t>2</t>
        </is>
      </c>
      <c r="F18" s="186" t="inlineStr">
        <is>
          <t>4</t>
        </is>
      </c>
      <c r="G18" s="186" t="inlineStr">
        <is>
          <t>6</t>
        </is>
      </c>
      <c r="H18" s="186" t="inlineStr">
        <is>
          <t>2</t>
        </is>
      </c>
      <c r="I18" s="186" t="inlineStr">
        <is>
          <t>1</t>
        </is>
      </c>
      <c r="J18" s="186" t="inlineStr">
        <is>
          <t>2</t>
        </is>
      </c>
      <c r="K18" s="186" t="n"/>
      <c r="L18" s="186" t="n"/>
      <c r="M18" s="187" t="n"/>
    </row>
    <row r="19" ht="20.1" customHeight="1" s="152" thickBot="1">
      <c r="A19" s="169" t="n"/>
      <c r="B19" s="170" t="n"/>
      <c r="C19" s="188" t="n"/>
      <c r="D19" s="175" t="inlineStr">
        <is>
          <t>기부금(순수)</t>
        </is>
      </c>
      <c r="E19" s="176" t="inlineStr">
        <is>
          <t>4</t>
        </is>
      </c>
      <c r="F19" s="176">
        <f>6+2</f>
        <v/>
      </c>
      <c r="G19" s="176" t="inlineStr">
        <is>
          <t>5</t>
        </is>
      </c>
      <c r="H19" s="176" t="inlineStr">
        <is>
          <t>6</t>
        </is>
      </c>
      <c r="I19" s="176" t="inlineStr">
        <is>
          <t>4</t>
        </is>
      </c>
      <c r="J19" s="176">
        <f>3+2</f>
        <v/>
      </c>
      <c r="K19" s="176" t="n"/>
      <c r="L19" s="176" t="n"/>
      <c r="M19" s="177" t="n"/>
    </row>
    <row r="20" hidden="1" ht="20.1" customHeight="1" s="152" thickBot="1">
      <c r="A20" s="169" t="n"/>
      <c r="B20" s="170" t="n"/>
      <c r="C20" s="188" t="n"/>
      <c r="D20" s="175" t="n"/>
      <c r="E20" s="176" t="n"/>
      <c r="F20" s="176" t="n"/>
      <c r="G20" s="176" t="n"/>
      <c r="H20" s="176" t="n"/>
      <c r="I20" s="176" t="n"/>
      <c r="J20" s="176" t="n"/>
      <c r="K20" s="176" t="n"/>
      <c r="L20" s="176" t="n"/>
      <c r="M20" s="177" t="n"/>
    </row>
    <row r="21" ht="20.1" customHeight="1" s="152" thickBot="1">
      <c r="A21" s="169" t="n"/>
      <c r="B21" s="170" t="n"/>
      <c r="C21" s="165" t="inlineStr">
        <is>
          <t>국고보조금 수입_운영비</t>
        </is>
      </c>
      <c r="D21" s="166" t="n"/>
      <c r="E21" s="167" t="n"/>
      <c r="F21" s="167" t="n"/>
      <c r="G21" s="167" t="n"/>
      <c r="H21" s="167" t="n"/>
      <c r="I21" s="167" t="n"/>
      <c r="J21" s="167" t="n"/>
      <c r="K21" s="167" t="n"/>
      <c r="L21" s="167" t="n"/>
      <c r="M21" s="168" t="n"/>
    </row>
    <row r="22" ht="20.1" customHeight="1" s="152">
      <c r="A22" s="169" t="n"/>
      <c r="B22" s="170" t="n"/>
      <c r="C22" s="189" t="n"/>
      <c r="D22" s="175" t="inlineStr">
        <is>
          <t>교육부 혁신지원(운영비사용)</t>
        </is>
      </c>
      <c r="E22" s="182" t="inlineStr">
        <is>
          <t>32</t>
        </is>
      </c>
      <c r="F22" s="182" t="inlineStr">
        <is>
          <t>34</t>
        </is>
      </c>
      <c r="G22" s="182" t="inlineStr">
        <is>
          <t>49</t>
        </is>
      </c>
      <c r="H22" s="182" t="inlineStr">
        <is>
          <t>51</t>
        </is>
      </c>
      <c r="I22" s="182" t="inlineStr">
        <is>
          <t>39</t>
        </is>
      </c>
      <c r="J22" s="182">
        <f>37-4</f>
        <v/>
      </c>
      <c r="K22" s="183" t="n"/>
      <c r="L22" s="183" t="n"/>
      <c r="M22" s="184" t="n"/>
    </row>
    <row r="23" ht="20.1" customHeight="1" s="152">
      <c r="A23" s="169" t="n"/>
      <c r="B23" s="170" t="n"/>
      <c r="D23" s="175" t="inlineStr">
        <is>
          <t>교육부 고교기여(운영비사용)</t>
        </is>
      </c>
      <c r="E23" s="182" t="n"/>
      <c r="F23" s="182" t="n"/>
      <c r="G23" s="182" t="n"/>
      <c r="H23" s="182" t="n"/>
      <c r="I23" s="182" t="n"/>
      <c r="J23" s="182" t="inlineStr">
        <is>
          <t>5</t>
        </is>
      </c>
      <c r="K23" s="183" t="n"/>
      <c r="L23" s="183" t="n"/>
      <c r="M23" s="184" t="n"/>
    </row>
    <row r="24" ht="20.1" customHeight="1" s="152" thickBot="1">
      <c r="A24" s="169" t="n"/>
      <c r="B24" s="170" t="n"/>
      <c r="C24" s="179" t="n"/>
      <c r="D24" s="175" t="inlineStr">
        <is>
          <t>기타지방자치단체등(운영비사용)</t>
        </is>
      </c>
      <c r="E24" s="176" t="inlineStr">
        <is>
          <t>1</t>
        </is>
      </c>
      <c r="F24" s="176" t="inlineStr">
        <is>
          <t>1</t>
        </is>
      </c>
      <c r="G24" s="176" t="inlineStr">
        <is>
          <t>1</t>
        </is>
      </c>
      <c r="H24" s="176" t="inlineStr">
        <is>
          <t>0</t>
        </is>
      </c>
      <c r="I24" s="176" t="inlineStr">
        <is>
          <t>2</t>
        </is>
      </c>
      <c r="J24" s="176" t="inlineStr">
        <is>
          <t>1</t>
        </is>
      </c>
      <c r="K24" s="176" t="n"/>
      <c r="L24" s="176" t="n"/>
      <c r="M24" s="177" t="n"/>
    </row>
    <row r="25" ht="20.1" customHeight="1" s="152" thickBot="1">
      <c r="A25" s="190" t="n"/>
      <c r="B25" s="191" t="inlineStr">
        <is>
          <t>경상수입 계 B</t>
        </is>
      </c>
      <c r="C25" s="192" t="n"/>
      <c r="D25" s="166" t="n"/>
      <c r="E25" s="193" t="n">
        <v>356</v>
      </c>
      <c r="F25" s="193" t="n">
        <v>381</v>
      </c>
      <c r="G25" s="193" t="n">
        <v>390</v>
      </c>
      <c r="H25" s="193" t="n">
        <v>370</v>
      </c>
      <c r="I25" s="193" t="n">
        <v>402</v>
      </c>
      <c r="J25" s="193" t="n">
        <v>436</v>
      </c>
      <c r="K25" s="193" t="n">
        <v>0</v>
      </c>
      <c r="L25" s="193" t="n">
        <v>0</v>
      </c>
      <c r="M25" s="194" t="n"/>
    </row>
    <row r="26" ht="20.1" customHeight="1" s="152" thickBot="1"/>
    <row r="27" ht="20.1" customHeight="1" s="152">
      <c r="A27" s="163" t="inlineStr">
        <is>
          <t>경상
지출</t>
        </is>
      </c>
      <c r="B27" s="195" t="n"/>
      <c r="C27" s="196" t="inlineStr">
        <is>
          <t>보수(비임상 교원, 직원)</t>
        </is>
      </c>
      <c r="D27" s="155" t="n"/>
      <c r="E27" s="197" t="n"/>
      <c r="F27" s="197" t="n"/>
      <c r="G27" s="197" t="n"/>
      <c r="H27" s="197" t="n"/>
      <c r="I27" s="197" t="n"/>
      <c r="J27" s="197" t="n"/>
      <c r="K27" s="197" t="n"/>
      <c r="L27" s="197" t="n"/>
      <c r="M27" s="198" t="n"/>
    </row>
    <row r="28" ht="20.1" customHeight="1" s="152">
      <c r="A28" s="169" t="n"/>
      <c r="B28" s="170" t="n"/>
      <c r="C28" s="171" t="n"/>
      <c r="D28" s="199" t="inlineStr">
        <is>
          <t>비임상교원</t>
        </is>
      </c>
      <c r="E28" s="173" t="inlineStr">
        <is>
          <t>104</t>
        </is>
      </c>
      <c r="F28" s="173" t="inlineStr">
        <is>
          <t>105</t>
        </is>
      </c>
      <c r="G28" s="173" t="inlineStr">
        <is>
          <t>111</t>
        </is>
      </c>
      <c r="H28" s="173">
        <f>96+6</f>
        <v/>
      </c>
      <c r="I28" s="173">
        <f>96+6</f>
        <v/>
      </c>
      <c r="J28" s="173" t="inlineStr">
        <is>
          <t>106</t>
        </is>
      </c>
      <c r="K28" s="173" t="n"/>
      <c r="L28" s="173" t="n"/>
      <c r="M28" s="174" t="n"/>
      <c r="O28" s="142" t="inlineStr">
        <is>
          <t>23은 111억?</t>
        </is>
      </c>
    </row>
    <row r="29" ht="20.1" customHeight="1" s="152">
      <c r="A29" s="169" t="n"/>
      <c r="B29" s="170" t="n"/>
      <c r="D29" s="175" t="inlineStr">
        <is>
          <t>직원</t>
        </is>
      </c>
      <c r="E29" s="176">
        <f>38+7</f>
        <v/>
      </c>
      <c r="F29" s="176">
        <f>37+8</f>
        <v/>
      </c>
      <c r="G29" s="176">
        <f>33+18</f>
        <v/>
      </c>
      <c r="H29" s="176">
        <f>34+18</f>
        <v/>
      </c>
      <c r="I29" s="176">
        <f>42+13</f>
        <v/>
      </c>
      <c r="J29" s="176">
        <f>48+8</f>
        <v/>
      </c>
      <c r="K29" s="176" t="n"/>
      <c r="L29" s="176" t="n"/>
      <c r="M29" s="177" t="n"/>
    </row>
    <row r="30" ht="20.1" customHeight="1" s="152">
      <c r="A30" s="169" t="n"/>
      <c r="B30" s="170" t="n"/>
      <c r="D30" s="175" t="inlineStr">
        <is>
          <t>조교</t>
        </is>
      </c>
      <c r="E30" s="176" t="inlineStr">
        <is>
          <t>9</t>
        </is>
      </c>
      <c r="F30" s="176" t="inlineStr">
        <is>
          <t>8</t>
        </is>
      </c>
      <c r="G30" s="176" t="inlineStr">
        <is>
          <t>4</t>
        </is>
      </c>
      <c r="H30" s="176" t="inlineStr">
        <is>
          <t>6</t>
        </is>
      </c>
      <c r="I30" s="176" t="inlineStr">
        <is>
          <t>6</t>
        </is>
      </c>
      <c r="J30" s="176" t="inlineStr">
        <is>
          <t>6</t>
        </is>
      </c>
      <c r="K30" s="176" t="n"/>
      <c r="L30" s="176" t="n"/>
      <c r="M30" s="177" t="n"/>
    </row>
    <row r="31" ht="20.1" customHeight="1" s="152">
      <c r="A31" s="169" t="n"/>
      <c r="B31" s="170" t="n"/>
      <c r="D31" s="175" t="inlineStr">
        <is>
          <t>퇴직금</t>
        </is>
      </c>
      <c r="E31" s="176" t="inlineStr">
        <is>
          <t>3</t>
        </is>
      </c>
      <c r="F31" s="176" t="inlineStr">
        <is>
          <t>4</t>
        </is>
      </c>
      <c r="G31" s="176" t="inlineStr">
        <is>
          <t>5</t>
        </is>
      </c>
      <c r="H31" s="176">
        <f>2+1</f>
        <v/>
      </c>
      <c r="I31" s="176" t="inlineStr">
        <is>
          <t>3</t>
        </is>
      </c>
      <c r="J31" s="176" t="inlineStr">
        <is>
          <t>4</t>
        </is>
      </c>
      <c r="K31" s="176" t="n"/>
      <c r="L31" s="176" t="n"/>
      <c r="M31" s="177" t="n"/>
    </row>
    <row r="32" ht="20.1" customHeight="1" s="152">
      <c r="A32" s="169" t="n"/>
      <c r="B32" s="170" t="n"/>
      <c r="C32" s="179" t="n"/>
      <c r="D32" s="200" t="inlineStr">
        <is>
          <t>강사료</t>
        </is>
      </c>
      <c r="E32" s="201">
        <f>11+2</f>
        <v/>
      </c>
      <c r="F32" s="201">
        <f>13+2</f>
        <v/>
      </c>
      <c r="G32" s="201">
        <f>12+2</f>
        <v/>
      </c>
      <c r="H32" s="201">
        <f>12+2</f>
        <v/>
      </c>
      <c r="I32" s="201">
        <f>13+3</f>
        <v/>
      </c>
      <c r="J32" s="201">
        <f>13+6</f>
        <v/>
      </c>
      <c r="K32" s="201" t="n"/>
      <c r="L32" s="201" t="n"/>
      <c r="M32" s="187" t="n"/>
    </row>
    <row r="33" ht="20.1" customHeight="1" s="152">
      <c r="A33" s="169" t="n"/>
      <c r="B33" s="170" t="n"/>
      <c r="C33" s="202" t="inlineStr">
        <is>
          <t>관리운영비</t>
        </is>
      </c>
      <c r="D33" s="155" t="n"/>
      <c r="E33" s="197" t="n"/>
      <c r="F33" s="197" t="n"/>
      <c r="G33" s="197" t="n"/>
      <c r="H33" s="197" t="n"/>
      <c r="I33" s="197" t="n"/>
      <c r="J33" s="197" t="n"/>
      <c r="K33" s="197" t="n"/>
      <c r="L33" s="197" t="n"/>
      <c r="M33" s="198" t="n"/>
    </row>
    <row r="34" ht="20.1" customHeight="1" s="152">
      <c r="A34" s="169" t="n"/>
      <c r="B34" s="170" t="n"/>
      <c r="C34" s="203" t="n"/>
      <c r="D34" s="204" t="inlineStr">
        <is>
          <t>시설관리비</t>
        </is>
      </c>
      <c r="E34" s="173">
        <f>24+11</f>
        <v/>
      </c>
      <c r="F34" s="173">
        <f>28+13</f>
        <v/>
      </c>
      <c r="G34" s="173">
        <f>32+10</f>
        <v/>
      </c>
      <c r="H34" s="173">
        <f>26+14</f>
        <v/>
      </c>
      <c r="I34" s="173">
        <f>30+19</f>
        <v/>
      </c>
      <c r="J34" s="173">
        <f>28+12</f>
        <v/>
      </c>
      <c r="K34" s="173" t="n"/>
      <c r="L34" s="173" t="n"/>
      <c r="M34" s="174" t="n"/>
    </row>
    <row r="35" ht="20.1" customHeight="1" s="152">
      <c r="A35" s="169" t="n"/>
      <c r="B35" s="170" t="n"/>
      <c r="D35" s="205" t="inlineStr">
        <is>
          <t>일반관리비</t>
        </is>
      </c>
      <c r="E35" s="176">
        <f>21+2</f>
        <v/>
      </c>
      <c r="F35" s="176">
        <f>24+3</f>
        <v/>
      </c>
      <c r="G35" s="176">
        <f>22+2</f>
        <v/>
      </c>
      <c r="H35" s="176">
        <f>22+7</f>
        <v/>
      </c>
      <c r="I35" s="176">
        <f>24+7</f>
        <v/>
      </c>
      <c r="J35" s="176">
        <f>25+6</f>
        <v/>
      </c>
      <c r="K35" s="176" t="n"/>
      <c r="L35" s="176" t="n"/>
      <c r="M35" s="177" t="n"/>
    </row>
    <row r="36" ht="20.1" customHeight="1" s="152">
      <c r="A36" s="169" t="n"/>
      <c r="B36" s="170" t="n"/>
      <c r="C36" s="179" t="n"/>
      <c r="D36" s="206" t="inlineStr">
        <is>
          <t>운영비</t>
        </is>
      </c>
      <c r="E36" s="201">
        <f>7+4</f>
        <v/>
      </c>
      <c r="F36" s="201">
        <f>7+9</f>
        <v/>
      </c>
      <c r="G36" s="201">
        <f>11+6</f>
        <v/>
      </c>
      <c r="H36" s="201">
        <f>11+16</f>
        <v/>
      </c>
      <c r="I36" s="201">
        <f>15+20</f>
        <v/>
      </c>
      <c r="J36" s="201">
        <f>16+18</f>
        <v/>
      </c>
      <c r="K36" s="201" t="n"/>
      <c r="L36" s="201" t="n"/>
      <c r="M36" s="187" t="n"/>
    </row>
    <row r="37" ht="20.1" customHeight="1" s="152">
      <c r="A37" s="169" t="n"/>
      <c r="B37" s="170" t="n"/>
      <c r="C37" s="196" t="inlineStr">
        <is>
          <t>연구 학생경비</t>
        </is>
      </c>
      <c r="D37" s="155" t="n"/>
      <c r="E37" s="197" t="n"/>
      <c r="F37" s="197" t="n"/>
      <c r="G37" s="197" t="n"/>
      <c r="H37" s="197" t="n"/>
      <c r="I37" s="197" t="n"/>
      <c r="J37" s="197" t="n"/>
      <c r="K37" s="197" t="n"/>
      <c r="L37" s="197" t="n"/>
      <c r="M37" s="198" t="n"/>
    </row>
    <row r="38" ht="20.1" customHeight="1" s="152">
      <c r="A38" s="169" t="n"/>
      <c r="B38" s="170" t="n"/>
      <c r="C38" s="171" t="n"/>
      <c r="D38" s="207" t="inlineStr">
        <is>
          <t>연구비</t>
        </is>
      </c>
      <c r="E38" s="173" t="inlineStr">
        <is>
          <t>9</t>
        </is>
      </c>
      <c r="F38" s="173" t="inlineStr">
        <is>
          <t>11</t>
        </is>
      </c>
      <c r="G38" s="173" t="inlineStr">
        <is>
          <t>8</t>
        </is>
      </c>
      <c r="H38" s="173" t="inlineStr">
        <is>
          <t>7</t>
        </is>
      </c>
      <c r="I38" s="173" t="inlineStr">
        <is>
          <t>10</t>
        </is>
      </c>
      <c r="J38" s="173" t="inlineStr">
        <is>
          <t>13</t>
        </is>
      </c>
      <c r="K38" s="173" t="n"/>
      <c r="L38" s="173" t="n"/>
      <c r="M38" s="174" t="n"/>
    </row>
    <row r="39" ht="20.1" customHeight="1" s="152">
      <c r="A39" s="169" t="n"/>
      <c r="B39" s="170" t="n"/>
      <c r="D39" s="208" t="inlineStr">
        <is>
          <t>교내장학금 학부</t>
        </is>
      </c>
      <c r="E39" s="182" t="inlineStr">
        <is>
          <t>52</t>
        </is>
      </c>
      <c r="F39" s="182" t="inlineStr">
        <is>
          <t>52</t>
        </is>
      </c>
      <c r="G39" s="182" t="inlineStr">
        <is>
          <t>50</t>
        </is>
      </c>
      <c r="H39" s="182" t="inlineStr">
        <is>
          <t>47</t>
        </is>
      </c>
      <c r="I39" s="182" t="inlineStr">
        <is>
          <t>53</t>
        </is>
      </c>
      <c r="J39" s="182" t="inlineStr">
        <is>
          <t>32</t>
        </is>
      </c>
      <c r="K39" s="183" t="n"/>
      <c r="L39" s="183" t="n"/>
      <c r="M39" s="184" t="n"/>
    </row>
    <row r="40" ht="20.1" customHeight="1" s="152">
      <c r="A40" s="169" t="n"/>
      <c r="B40" s="170" t="n"/>
      <c r="D40" s="208" t="inlineStr">
        <is>
          <t>교내장학금 대학원</t>
        </is>
      </c>
      <c r="E40" s="182" t="n"/>
      <c r="F40" s="182" t="n"/>
      <c r="G40" s="182" t="n"/>
      <c r="H40" s="182" t="n"/>
      <c r="I40" s="182" t="n"/>
      <c r="J40" s="182" t="inlineStr">
        <is>
          <t>26</t>
        </is>
      </c>
      <c r="K40" s="183" t="n"/>
      <c r="L40" s="183" t="n"/>
      <c r="M40" s="184" t="n"/>
    </row>
    <row r="41" ht="20.1" customHeight="1" s="152">
      <c r="A41" s="169" t="n"/>
      <c r="B41" s="170" t="n"/>
      <c r="D41" s="175" t="inlineStr">
        <is>
          <t>실험실습비및논문심사료</t>
        </is>
      </c>
      <c r="E41" s="176">
        <f>4+2</f>
        <v/>
      </c>
      <c r="F41" s="176">
        <f>5+2</f>
        <v/>
      </c>
      <c r="G41" s="176">
        <f>5+3</f>
        <v/>
      </c>
      <c r="H41" s="176">
        <f>6+3</f>
        <v/>
      </c>
      <c r="I41" s="176">
        <f>8+2</f>
        <v/>
      </c>
      <c r="J41" s="176">
        <f>8+3</f>
        <v/>
      </c>
      <c r="K41" s="176" t="n"/>
      <c r="L41" s="176" t="n"/>
      <c r="M41" s="177" t="n"/>
    </row>
    <row r="42" ht="20.1" customHeight="1" s="152">
      <c r="A42" s="169" t="n"/>
      <c r="B42" s="170" t="n"/>
      <c r="C42" s="179" t="n"/>
      <c r="D42" s="175" t="inlineStr">
        <is>
          <t>학생지원비및기타학생경비</t>
        </is>
      </c>
      <c r="E42" s="176">
        <f>3+3</f>
        <v/>
      </c>
      <c r="F42" s="176">
        <f>3+4</f>
        <v/>
      </c>
      <c r="G42" s="176">
        <f>2+7</f>
        <v/>
      </c>
      <c r="H42" s="176">
        <f>2+10</f>
        <v/>
      </c>
      <c r="I42" s="176">
        <f>4+13</f>
        <v/>
      </c>
      <c r="J42" s="176">
        <f>8+17</f>
        <v/>
      </c>
      <c r="K42" s="176" t="n"/>
      <c r="L42" s="176" t="n"/>
      <c r="M42" s="177" t="n"/>
    </row>
    <row r="43" ht="20.1" customHeight="1" s="152">
      <c r="A43" s="169" t="n"/>
      <c r="B43" s="170" t="n"/>
      <c r="C43" s="188" t="n"/>
      <c r="D43" s="209" t="inlineStr">
        <is>
          <t>입시관리비</t>
        </is>
      </c>
      <c r="E43" s="186" t="inlineStr">
        <is>
          <t>4</t>
        </is>
      </c>
      <c r="F43" s="186" t="inlineStr">
        <is>
          <t>4</t>
        </is>
      </c>
      <c r="G43" s="186" t="inlineStr">
        <is>
          <t>3</t>
        </is>
      </c>
      <c r="H43" s="186" t="inlineStr">
        <is>
          <t>4</t>
        </is>
      </c>
      <c r="I43" s="186" t="inlineStr">
        <is>
          <t>4</t>
        </is>
      </c>
      <c r="J43" s="186" t="inlineStr">
        <is>
          <t>4</t>
        </is>
      </c>
      <c r="K43" s="186" t="n"/>
      <c r="L43" s="186" t="n"/>
      <c r="M43" s="177" t="n"/>
    </row>
    <row r="44" ht="20.1" customHeight="1" s="152">
      <c r="A44" s="169" t="n"/>
      <c r="B44" s="170" t="n"/>
      <c r="C44" s="196" t="inlineStr">
        <is>
          <t>고정자산매입</t>
        </is>
      </c>
      <c r="D44" s="155" t="n"/>
      <c r="E44" s="197" t="n"/>
      <c r="F44" s="197" t="n"/>
      <c r="G44" s="197" t="n"/>
      <c r="H44" s="197" t="n"/>
      <c r="I44" s="197" t="n"/>
      <c r="J44" s="197" t="n"/>
      <c r="K44" s="197" t="n"/>
      <c r="L44" s="197" t="n"/>
      <c r="M44" s="198" t="n"/>
    </row>
    <row r="45" ht="20.1" customHeight="1" s="152">
      <c r="A45" s="169" t="n"/>
      <c r="B45" s="170" t="n"/>
      <c r="C45" s="171" t="n"/>
      <c r="D45" s="207" t="inlineStr">
        <is>
          <t>기계기구매입</t>
        </is>
      </c>
      <c r="E45" s="173">
        <f>1+11</f>
        <v/>
      </c>
      <c r="F45" s="173">
        <f>1+9</f>
        <v/>
      </c>
      <c r="G45" s="173">
        <f>1+9</f>
        <v/>
      </c>
      <c r="H45" s="173">
        <f>1+7</f>
        <v/>
      </c>
      <c r="I45" s="173">
        <f>4+12</f>
        <v/>
      </c>
      <c r="J45" s="173">
        <f>2+5+6</f>
        <v/>
      </c>
      <c r="K45" s="173" t="n"/>
      <c r="L45" s="173" t="n"/>
      <c r="M45" s="174" t="n"/>
    </row>
    <row r="46" ht="20.1" customHeight="1" s="152" thickBot="1">
      <c r="A46" s="169" t="n"/>
      <c r="B46" s="170" t="n"/>
      <c r="D46" s="208" t="inlineStr">
        <is>
          <t>집기비품및도서매입</t>
        </is>
      </c>
      <c r="E46" s="176">
        <f>3+2</f>
        <v/>
      </c>
      <c r="F46" s="176">
        <f>2+6</f>
        <v/>
      </c>
      <c r="G46" s="176">
        <f>2+29</f>
        <v/>
      </c>
      <c r="H46" s="176">
        <f>0+16</f>
        <v/>
      </c>
      <c r="I46" s="176">
        <f>1+9</f>
        <v/>
      </c>
      <c r="J46" s="176">
        <f>1+3+2</f>
        <v/>
      </c>
      <c r="K46" s="176" t="n"/>
      <c r="L46" s="176" t="n"/>
      <c r="M46" s="177" t="n"/>
    </row>
    <row r="47" hidden="1" ht="20.1" customHeight="1" s="152" thickBot="1">
      <c r="A47" s="169" t="n"/>
      <c r="B47" s="170" t="n"/>
      <c r="C47" s="179" t="n"/>
      <c r="D47" s="209" t="n"/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7" t="n"/>
    </row>
    <row r="48" ht="20.1" customHeight="1" s="152" thickBot="1">
      <c r="A48" s="190" t="n"/>
      <c r="B48" s="191" t="inlineStr">
        <is>
          <t>경상지출 계 C</t>
        </is>
      </c>
      <c r="C48" s="192" t="n"/>
      <c r="D48" s="166" t="n"/>
      <c r="E48" s="193" t="n">
        <v>337</v>
      </c>
      <c r="F48" s="193" t="n">
        <v>360</v>
      </c>
      <c r="G48" s="193" t="n">
        <v>387</v>
      </c>
      <c r="H48" s="193" t="n">
        <v>376</v>
      </c>
      <c r="I48" s="193" t="n">
        <v>417</v>
      </c>
      <c r="J48" s="193" t="n">
        <v>426</v>
      </c>
      <c r="K48" s="193" t="n">
        <v>0</v>
      </c>
      <c r="L48" s="193" t="n">
        <v>0</v>
      </c>
      <c r="M48" s="194" t="n"/>
    </row>
    <row r="49" ht="20.1" customFormat="1" customHeight="1" s="210" thickBot="1">
      <c r="A49" s="211" t="inlineStr">
        <is>
          <t>당기 과부족액 D=B-C</t>
        </is>
      </c>
      <c r="B49" s="192" t="n"/>
      <c r="C49" s="192" t="n"/>
      <c r="D49" s="166" t="n"/>
      <c r="E49" s="212" t="n">
        <v>19</v>
      </c>
      <c r="F49" s="212" t="n">
        <v>21</v>
      </c>
      <c r="G49" s="212" t="n">
        <v>3</v>
      </c>
      <c r="H49" s="212" t="n">
        <v>-6</v>
      </c>
      <c r="I49" s="212" t="n">
        <v>-15</v>
      </c>
      <c r="J49" s="212" t="n">
        <v>10</v>
      </c>
      <c r="K49" s="212" t="n">
        <v>0</v>
      </c>
      <c r="L49" s="212" t="n">
        <v>0</v>
      </c>
      <c r="M49" s="213" t="n"/>
    </row>
    <row r="50" ht="20.1" customHeight="1" s="152" thickBot="1">
      <c r="D50" s="157" t="n"/>
      <c r="E50" s="157" t="n"/>
      <c r="F50" s="157" t="n"/>
      <c r="G50" s="157" t="n"/>
      <c r="H50" s="157" t="n"/>
      <c r="I50" s="157" t="n"/>
      <c r="J50" s="157" t="n"/>
      <c r="K50" s="157" t="n"/>
      <c r="L50" s="157" t="n"/>
      <c r="M50" s="157" t="n"/>
    </row>
    <row r="51" ht="20.1" customHeight="1" s="152" thickBot="1">
      <c r="A51" s="214" t="inlineStr">
        <is>
          <t>부족액충당(기부수입 등) E</t>
        </is>
      </c>
      <c r="B51" s="192" t="n"/>
      <c r="C51" s="192" t="n"/>
      <c r="D51" s="166" t="n"/>
      <c r="E51" s="215" t="n"/>
      <c r="F51" s="216" t="n"/>
      <c r="G51" s="216" t="n"/>
      <c r="H51" s="216" t="n"/>
      <c r="I51" s="216" t="n"/>
      <c r="J51" s="216" t="n"/>
      <c r="K51" s="216" t="n"/>
      <c r="L51" s="216" t="n"/>
      <c r="M51" s="217" t="n"/>
    </row>
    <row r="52" ht="20.1" customHeight="1" s="152" thickBot="1">
      <c r="D52" s="218" t="n"/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20" t="n"/>
    </row>
    <row r="53" ht="20.1" customHeight="1" s="152">
      <c r="A53" s="163" t="inlineStr">
        <is>
          <t>비
경상
지출</t>
        </is>
      </c>
      <c r="B53" s="221" t="inlineStr">
        <is>
          <t>과학관증축 등</t>
        </is>
      </c>
      <c r="C53" s="154" t="n"/>
      <c r="D53" s="155" t="n"/>
      <c r="E53" s="222" t="inlineStr">
        <is>
          <t>46</t>
        </is>
      </c>
      <c r="F53" s="222" t="n"/>
      <c r="G53" s="222" t="n"/>
      <c r="H53" s="222" t="n"/>
      <c r="I53" s="222" t="n"/>
      <c r="J53" s="222" t="n"/>
      <c r="K53" s="222" t="n"/>
      <c r="L53" s="223" t="n"/>
      <c r="M53" s="224" t="n"/>
    </row>
    <row r="54" ht="20.1" customHeight="1" s="152">
      <c r="A54" s="169" t="n"/>
      <c r="B54" s="221" t="inlineStr">
        <is>
          <t>토지매입(이새공장)</t>
        </is>
      </c>
      <c r="C54" s="154" t="n"/>
      <c r="D54" s="155" t="n"/>
      <c r="E54" s="222" t="n"/>
      <c r="F54" s="222" t="n"/>
      <c r="G54" s="222" t="inlineStr">
        <is>
          <t>46</t>
        </is>
      </c>
      <c r="H54" s="222" t="inlineStr">
        <is>
          <t>23</t>
        </is>
      </c>
      <c r="I54" s="222" t="n"/>
      <c r="J54" s="222" t="n"/>
      <c r="K54" s="222" t="n"/>
      <c r="L54" s="223" t="n"/>
      <c r="M54" s="224" t="n"/>
    </row>
    <row r="55" ht="20.1" customHeight="1" s="152">
      <c r="A55" s="169" t="n"/>
      <c r="B55" s="221" t="inlineStr">
        <is>
          <t>미래관증축</t>
        </is>
      </c>
      <c r="C55" s="154" t="n"/>
      <c r="D55" s="155" t="n"/>
      <c r="E55" s="225" t="n"/>
      <c r="F55" s="225" t="n"/>
      <c r="G55" s="225" t="n"/>
      <c r="H55" s="225" t="n"/>
      <c r="I55" s="225" t="n"/>
      <c r="J55" s="225" t="inlineStr">
        <is>
          <t>15</t>
        </is>
      </c>
      <c r="K55" s="225" t="n"/>
      <c r="L55" s="226" t="n"/>
      <c r="M55" s="224" t="n"/>
    </row>
    <row r="56" ht="20.1" customHeight="1" s="152">
      <c r="A56" s="169" t="n"/>
      <c r="B56" s="221" t="inlineStr">
        <is>
          <t>의학관건축</t>
        </is>
      </c>
      <c r="C56" s="154" t="n"/>
      <c r="D56" s="155" t="n"/>
      <c r="E56" s="222" t="n"/>
      <c r="F56" s="222" t="n"/>
      <c r="G56" s="222" t="n"/>
      <c r="H56" s="222" t="n"/>
      <c r="I56" s="222" t="n"/>
      <c r="J56" s="222" t="inlineStr">
        <is>
          <t>11</t>
        </is>
      </c>
      <c r="K56" s="222" t="n"/>
      <c r="L56" s="223" t="n"/>
      <c r="M56" s="224" t="n"/>
    </row>
    <row r="57" ht="20.1" customHeight="1" s="152">
      <c r="A57" s="169" t="n"/>
      <c r="B57" s="221" t="inlineStr">
        <is>
          <t>차입금이자(의학관융자300억)</t>
        </is>
      </c>
      <c r="C57" s="154" t="n"/>
      <c r="D57" s="155" t="n"/>
      <c r="E57" s="222" t="n"/>
      <c r="F57" s="222" t="n"/>
      <c r="G57" s="222" t="n"/>
      <c r="H57" s="222" t="n"/>
      <c r="I57" s="222" t="n"/>
      <c r="J57" s="222" t="inlineStr">
        <is>
          <t>5</t>
        </is>
      </c>
      <c r="K57" s="222" t="n"/>
      <c r="L57" s="223" t="n"/>
      <c r="M57" s="224" t="n"/>
    </row>
    <row r="58" ht="20.1" customHeight="1" s="152" thickBot="1">
      <c r="A58" s="169" t="n"/>
      <c r="B58" s="221" t="n"/>
      <c r="C58" s="154" t="n"/>
      <c r="D58" s="155" t="n"/>
      <c r="E58" s="226" t="n"/>
      <c r="F58" s="226" t="n"/>
      <c r="G58" s="226" t="n"/>
      <c r="H58" s="226" t="n"/>
      <c r="I58" s="226" t="n"/>
      <c r="J58" s="226" t="n"/>
      <c r="K58" s="226" t="n"/>
      <c r="L58" s="226" t="n"/>
      <c r="M58" s="224" t="n"/>
    </row>
    <row r="59" ht="20.1" customHeight="1" s="152" thickBot="1">
      <c r="A59" s="190" t="n"/>
      <c r="B59" s="191" t="inlineStr">
        <is>
          <t>비경상지출 계 F</t>
        </is>
      </c>
      <c r="C59" s="192" t="n"/>
      <c r="D59" s="166" t="n"/>
      <c r="E59" s="193" t="n">
        <v>46</v>
      </c>
      <c r="F59" s="193" t="n">
        <v>0</v>
      </c>
      <c r="G59" s="193" t="n">
        <v>46</v>
      </c>
      <c r="H59" s="193" t="n">
        <v>23</v>
      </c>
      <c r="I59" s="193" t="n">
        <v>0</v>
      </c>
      <c r="J59" s="193" t="n">
        <v>31</v>
      </c>
      <c r="K59" s="193" t="n">
        <v>0</v>
      </c>
      <c r="L59" s="193" t="n">
        <v>0</v>
      </c>
      <c r="M59" s="194" t="n"/>
    </row>
    <row r="60" ht="20.1" customHeight="1" s="152" thickBot="1">
      <c r="D60" s="227" t="n"/>
      <c r="E60" s="228" t="n"/>
      <c r="F60" s="228" t="n"/>
      <c r="G60" s="228" t="n"/>
      <c r="H60" s="228" t="n"/>
      <c r="I60" s="228" t="n"/>
      <c r="J60" s="228" t="n"/>
      <c r="K60" s="228" t="n"/>
      <c r="L60" s="228" t="n"/>
      <c r="M60" s="229" t="n"/>
    </row>
    <row r="61" ht="20.1" customFormat="1" customHeight="1" s="210" thickBot="1">
      <c r="A61" s="211" t="inlineStr">
        <is>
          <t>차기 이월 G=A+D+E-F</t>
        </is>
      </c>
      <c r="B61" s="192" t="n"/>
      <c r="C61" s="192" t="n"/>
      <c r="D61" s="166" t="n"/>
      <c r="E61" s="212" t="n">
        <v>-27</v>
      </c>
      <c r="F61" s="212" t="n">
        <v>-6</v>
      </c>
      <c r="G61" s="212" t="n">
        <v>-49</v>
      </c>
      <c r="H61" s="212" t="n">
        <v>-78</v>
      </c>
      <c r="I61" s="212" t="n">
        <v>-93</v>
      </c>
      <c r="J61" s="212" t="n">
        <v>-114</v>
      </c>
      <c r="K61" s="212" t="n">
        <v>-114</v>
      </c>
      <c r="L61" s="212" t="n">
        <v>-114</v>
      </c>
      <c r="M61" s="213" t="n"/>
    </row>
    <row r="62" ht="20.1" customFormat="1" customHeight="1" s="230">
      <c r="E62" s="231" t="n"/>
      <c r="F62" s="231" t="n"/>
      <c r="G62" s="231" t="n"/>
      <c r="H62" s="231" t="n"/>
      <c r="I62" s="231" t="n"/>
      <c r="J62" s="231" t="n"/>
      <c r="K62" s="231" t="n"/>
      <c r="L62" s="231" t="n"/>
      <c r="M62" s="231" t="n"/>
    </row>
    <row r="63" ht="20.1" customFormat="1" customHeight="1" s="36">
      <c r="A63" s="36" t="inlineStr">
        <is>
          <t>*등록금등 수입으로 비임상교원에 대한 보수를 100% 지급 및 경상비 사용 가능 *의료재단 지원 불필요</t>
        </is>
      </c>
      <c r="E63" s="37" t="n"/>
      <c r="F63" s="37" t="n"/>
      <c r="G63" s="37" t="n"/>
      <c r="H63" s="37" t="n"/>
      <c r="I63" s="37" t="n"/>
      <c r="J63" s="37" t="n"/>
      <c r="K63" s="37" t="n"/>
      <c r="L63" s="37" t="n"/>
    </row>
    <row r="64" ht="20.1" customFormat="1" customHeight="1" s="36">
      <c r="A64" s="36" t="inlineStr">
        <is>
          <t>*단, 국고고보조금 일부(교외장학금외)가 대학운영에 기여하고 있음?</t>
        </is>
      </c>
      <c r="E64" s="37" t="n"/>
      <c r="F64" s="37" t="n"/>
      <c r="G64" s="37" t="n"/>
      <c r="H64" s="37" t="n"/>
      <c r="I64" s="37" t="n"/>
      <c r="J64" s="37" t="n"/>
      <c r="K64" s="37" t="n"/>
      <c r="L64" s="37" t="n"/>
    </row>
    <row r="65" ht="20.1" customFormat="1" customHeight="1" s="36">
      <c r="E65" s="37" t="n"/>
      <c r="F65" s="37" t="n"/>
      <c r="G65" s="37" t="n"/>
      <c r="H65" s="37" t="n"/>
      <c r="I65" s="37" t="n"/>
      <c r="J65" s="37" t="n"/>
      <c r="K65" s="37" t="n"/>
      <c r="L65" s="37" t="n"/>
    </row>
    <row r="66" ht="20.1" customFormat="1" customHeight="1" s="232">
      <c r="A66" s="232" t="inlineStr">
        <is>
          <t>&lt;전기이월자금 및 차기이월자금&gt;</t>
        </is>
      </c>
      <c r="E66" s="233" t="n"/>
      <c r="F66" s="233" t="n"/>
      <c r="G66" s="233" t="n"/>
      <c r="H66" s="233" t="n"/>
      <c r="I66" s="233" t="n"/>
      <c r="J66" s="233" t="n"/>
      <c r="K66" s="233" t="n"/>
      <c r="L66" s="233" t="n"/>
      <c r="M66" s="233" t="n"/>
    </row>
    <row r="67" ht="20.1" customFormat="1" customHeight="1" s="232">
      <c r="A67" s="232" t="inlineStr">
        <is>
          <t xml:space="preserve"> *기금등 회계상 관리 무시하고, 자금으로만 분석</t>
        </is>
      </c>
      <c r="E67" s="233" t="n"/>
      <c r="F67" s="233" t="n"/>
      <c r="G67" s="233" t="n"/>
      <c r="H67" s="233" t="n"/>
      <c r="I67" s="233" t="n"/>
      <c r="J67" s="233" t="n"/>
      <c r="K67" s="233" t="n"/>
      <c r="L67" s="233" t="n"/>
      <c r="M67" s="233" t="n"/>
    </row>
    <row r="68" ht="20.1" customFormat="1" customHeight="1" s="232">
      <c r="A68" s="232" t="inlineStr">
        <is>
          <t xml:space="preserve"> *법인협의자금 및 등록금선수금은 기본적으로 제외</t>
        </is>
      </c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</row>
    <row r="69" ht="20.1" customFormat="1" customHeight="1" s="232">
      <c r="A69" s="232" t="inlineStr">
        <is>
          <t xml:space="preserve"> *결과적으로 재무팀에서 관리하는 자금으로 설명이 가능하면 됨</t>
        </is>
      </c>
      <c r="E69" s="233" t="n"/>
      <c r="F69" s="233" t="n"/>
      <c r="G69" s="233" t="n"/>
      <c r="H69" s="233" t="n"/>
      <c r="I69" s="233" t="n"/>
      <c r="J69" s="233" t="n"/>
      <c r="K69" s="233" t="n"/>
      <c r="L69" s="233" t="n"/>
      <c r="M69" s="233" t="n"/>
    </row>
    <row r="70" ht="20.1" customFormat="1" customHeight="1" s="210">
      <c r="E70" s="143" t="n"/>
      <c r="F70" s="143" t="n"/>
      <c r="G70" s="143" t="n"/>
      <c r="H70" s="143" t="n"/>
      <c r="I70" s="143" t="n"/>
      <c r="J70" s="143" t="n"/>
      <c r="K70" s="143" t="n"/>
      <c r="L70" s="143" t="n"/>
      <c r="M70" s="143" t="n"/>
    </row>
  </sheetData>
  <mergeCells count="33">
    <mergeCell ref="C33:D33"/>
    <mergeCell ref="C12:C18"/>
    <mergeCell ref="B57:D57"/>
    <mergeCell ref="A4:D4"/>
    <mergeCell ref="B53:D53"/>
    <mergeCell ref="A27:A48"/>
    <mergeCell ref="L3:M3"/>
    <mergeCell ref="C34:C36"/>
    <mergeCell ref="C38:C42"/>
    <mergeCell ref="A7:A25"/>
    <mergeCell ref="C44:D44"/>
    <mergeCell ref="C28:C32"/>
    <mergeCell ref="A49:D49"/>
    <mergeCell ref="A51:D51"/>
    <mergeCell ref="B55:D55"/>
    <mergeCell ref="B6:D6"/>
    <mergeCell ref="A53:A59"/>
    <mergeCell ref="C45:C47"/>
    <mergeCell ref="A1:M1"/>
    <mergeCell ref="C21:D21"/>
    <mergeCell ref="A61:D61"/>
    <mergeCell ref="C11:D11"/>
    <mergeCell ref="C27:D27"/>
    <mergeCell ref="B25:D25"/>
    <mergeCell ref="B54:D54"/>
    <mergeCell ref="B59:D59"/>
    <mergeCell ref="C7:D7"/>
    <mergeCell ref="C37:D37"/>
    <mergeCell ref="B56:D56"/>
    <mergeCell ref="B58:D58"/>
    <mergeCell ref="C8:C10"/>
    <mergeCell ref="C22:C24"/>
    <mergeCell ref="B48:D48"/>
  </mergeCells>
  <pageMargins left="0.1968503937007874" right="0.1968503937007874" top="0.5905511811023623" bottom="0.3937007874015748" header="0.1968503937007874" footer="0.1968503937007874"/>
  <pageSetup orientation="portrait" paperSize="9" scale="80" cellComments="as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zoomScale="115" zoomScaleNormal="115" zoomScaleSheetLayoutView="115" workbookViewId="0">
      <pane xSplit="4" ySplit="7" topLeftCell="E35" activePane="bottomRight" state="frozen"/>
      <selection pane="topRight" activeCell="E1" sqref="E1"/>
      <selection pane="bottomLeft" activeCell="A8" sqref="A8"/>
      <selection pane="bottomRight" activeCell="A43" sqref="A43:XFD43"/>
    </sheetView>
  </sheetViews>
  <sheetFormatPr baseColWidth="8" defaultRowHeight="20.1" customHeight="1"/>
  <cols>
    <col width="5" customWidth="1" style="142" min="1" max="1"/>
    <col width="2.625" customWidth="1" style="142" min="2" max="3"/>
    <col width="27" customWidth="1" style="142" min="4" max="4"/>
    <col width="8.625" customWidth="1" style="143" min="5" max="12"/>
    <col width="7.25" customWidth="1" style="144" min="13" max="13"/>
    <col width="9.625" customWidth="1" style="142" min="14" max="22"/>
    <col width="9" customWidth="1" style="142" min="23" max="16384"/>
  </cols>
  <sheetData>
    <row r="1" ht="20.1" customFormat="1" customHeight="1" s="147">
      <c r="A1" s="146" t="inlineStr">
        <is>
          <t>2. 대학 목적자금 수지(이사회 양식) 26.3.6.안</t>
        </is>
      </c>
    </row>
    <row r="2" ht="20.1" customFormat="1" customHeight="1" s="147"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</row>
    <row r="3" ht="20.1" customFormat="1" customHeight="1" s="234">
      <c r="A3" s="149" t="n"/>
      <c r="C3" s="235" t="n"/>
      <c r="D3" s="235" t="n"/>
      <c r="E3" s="235" t="n"/>
      <c r="F3" s="235" t="n"/>
      <c r="G3" s="235" t="n"/>
      <c r="H3" s="235" t="n"/>
      <c r="I3" s="235" t="n"/>
      <c r="J3" s="235" t="n"/>
      <c r="K3" s="235" t="n"/>
      <c r="L3" s="150" t="inlineStr">
        <is>
          <t>(단위:억원)</t>
        </is>
      </c>
      <c r="M3" s="151" t="n"/>
    </row>
    <row r="4" ht="20.1" customHeight="1" s="152">
      <c r="A4" s="153" t="inlineStr">
        <is>
          <t>전기 이월 A</t>
        </is>
      </c>
      <c r="B4" s="154" t="n"/>
      <c r="C4" s="154" t="n"/>
      <c r="D4" s="155" t="n"/>
      <c r="E4" s="156" t="n">
        <v>0</v>
      </c>
      <c r="F4" s="156" t="n">
        <v>0</v>
      </c>
      <c r="G4" s="156" t="n">
        <v>0</v>
      </c>
      <c r="H4" s="156" t="n">
        <v>0</v>
      </c>
      <c r="I4" s="156" t="n">
        <v>0</v>
      </c>
      <c r="J4" s="156" t="n">
        <v>0</v>
      </c>
      <c r="K4" s="156" t="n">
        <v>0</v>
      </c>
      <c r="L4" s="156" t="n">
        <v>0</v>
      </c>
      <c r="M4" s="156" t="n"/>
    </row>
    <row r="5" ht="20.1" customHeight="1" s="152">
      <c r="D5" s="157" t="n"/>
      <c r="E5" s="157" t="n"/>
      <c r="F5" s="157" t="n"/>
      <c r="G5" s="157" t="n"/>
      <c r="H5" s="157" t="n"/>
      <c r="I5" s="157" t="n"/>
      <c r="J5" s="157" t="n"/>
      <c r="K5" s="157" t="n"/>
      <c r="L5" s="157" t="n"/>
      <c r="M5" s="157" t="n"/>
    </row>
    <row r="6" ht="20.1" customFormat="1" customHeight="1" s="157" thickBot="1">
      <c r="A6" s="158" t="inlineStr">
        <is>
          <t>구분</t>
        </is>
      </c>
      <c r="B6" s="236" t="inlineStr">
        <is>
          <t>항목</t>
        </is>
      </c>
      <c r="C6" s="154" t="n"/>
      <c r="D6" s="155" t="n"/>
      <c r="E6" s="161" t="inlineStr">
        <is>
          <t>21회계</t>
        </is>
      </c>
      <c r="F6" s="161" t="inlineStr">
        <is>
          <t>22회계</t>
        </is>
      </c>
      <c r="G6" s="161" t="inlineStr">
        <is>
          <t>23회계</t>
        </is>
      </c>
      <c r="H6" s="161" t="inlineStr">
        <is>
          <t>24회계</t>
        </is>
      </c>
      <c r="I6" s="161" t="inlineStr">
        <is>
          <t>25예산</t>
        </is>
      </c>
      <c r="J6" s="161" t="inlineStr">
        <is>
          <t>26예산</t>
        </is>
      </c>
      <c r="K6" s="161" t="inlineStr">
        <is>
          <t>27예산</t>
        </is>
      </c>
      <c r="L6" s="161" t="inlineStr">
        <is>
          <t>28예산</t>
        </is>
      </c>
      <c r="M6" s="237" t="inlineStr">
        <is>
          <t>비고</t>
        </is>
      </c>
    </row>
    <row r="7" ht="20.1" customHeight="1" s="152" thickBot="1">
      <c r="A7" s="163" t="inlineStr">
        <is>
          <t>목적수입</t>
        </is>
      </c>
      <c r="B7" s="170" t="n"/>
      <c r="C7" s="165" t="inlineStr">
        <is>
          <t>국고보조금</t>
        </is>
      </c>
      <c r="D7" s="166" t="n"/>
      <c r="E7" s="167" t="n"/>
      <c r="F7" s="167" t="n"/>
      <c r="G7" s="167" t="n"/>
      <c r="H7" s="167" t="n"/>
      <c r="I7" s="167" t="n"/>
      <c r="J7" s="167" t="n"/>
      <c r="K7" s="167" t="n"/>
      <c r="L7" s="167" t="n"/>
      <c r="M7" s="168" t="n"/>
    </row>
    <row r="8" ht="20.1" customHeight="1" s="152">
      <c r="A8" s="169" t="n"/>
      <c r="B8" s="170" t="n"/>
      <c r="C8" s="189" t="n"/>
      <c r="D8" s="238" t="inlineStr">
        <is>
          <t>교육부 국가장학금</t>
        </is>
      </c>
      <c r="E8" s="239" t="inlineStr">
        <is>
          <t>46</t>
        </is>
      </c>
      <c r="F8" s="239" t="inlineStr">
        <is>
          <t>55</t>
        </is>
      </c>
      <c r="G8" s="239" t="inlineStr">
        <is>
          <t>58</t>
        </is>
      </c>
      <c r="H8" s="239" t="inlineStr">
        <is>
          <t>64</t>
        </is>
      </c>
      <c r="I8" s="239" t="inlineStr">
        <is>
          <t>62</t>
        </is>
      </c>
      <c r="J8" s="239" t="inlineStr">
        <is>
          <t>64</t>
        </is>
      </c>
      <c r="K8" s="239" t="n"/>
      <c r="L8" s="239" t="n"/>
      <c r="M8" s="240" t="n"/>
    </row>
    <row r="9" ht="20.1" customHeight="1" s="152">
      <c r="A9" s="169" t="n"/>
      <c r="B9" s="170" t="n"/>
      <c r="D9" s="175" t="inlineStr">
        <is>
          <t>교육부 혁신지원(장학금)</t>
        </is>
      </c>
      <c r="E9" s="183" t="inlineStr">
        <is>
          <t>4</t>
        </is>
      </c>
      <c r="F9" s="183" t="inlineStr">
        <is>
          <t>4</t>
        </is>
      </c>
      <c r="G9" s="183" t="inlineStr">
        <is>
          <t>4</t>
        </is>
      </c>
      <c r="H9" s="183" t="inlineStr">
        <is>
          <t>4</t>
        </is>
      </c>
      <c r="I9" s="183" t="inlineStr">
        <is>
          <t>4</t>
        </is>
      </c>
      <c r="J9" s="183" t="inlineStr">
        <is>
          <t>4</t>
        </is>
      </c>
      <c r="K9" s="183" t="n"/>
      <c r="L9" s="183" t="n"/>
      <c r="M9" s="177" t="n"/>
    </row>
    <row r="10" ht="20.1" customHeight="1" s="152" thickBot="1">
      <c r="A10" s="169" t="n"/>
      <c r="B10" s="170" t="n"/>
      <c r="C10" s="179" t="n"/>
      <c r="D10" s="209" t="n"/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7" t="n"/>
    </row>
    <row r="11" ht="20.1" customHeight="1" s="152" thickBot="1">
      <c r="A11" s="169" t="n"/>
      <c r="B11" s="170" t="n"/>
      <c r="C11" s="165" t="inlineStr">
        <is>
          <t>협력병원근무자</t>
        </is>
      </c>
      <c r="D11" s="166" t="n"/>
      <c r="E11" s="167" t="n"/>
      <c r="F11" s="167" t="n"/>
      <c r="G11" s="167" t="n"/>
      <c r="H11" s="167" t="n"/>
      <c r="I11" s="167" t="n"/>
      <c r="J11" s="167" t="n"/>
      <c r="K11" s="167" t="n"/>
      <c r="L11" s="167" t="n"/>
      <c r="M11" s="168" t="n"/>
    </row>
    <row r="12" ht="20.1" customHeight="1" s="152">
      <c r="A12" s="169" t="n"/>
      <c r="B12" s="170" t="n"/>
      <c r="C12" s="241" t="n"/>
      <c r="D12" s="175" t="inlineStr">
        <is>
          <t>임상교원보수(계산서)</t>
        </is>
      </c>
      <c r="E12" s="176" t="inlineStr">
        <is>
          <t>459</t>
        </is>
      </c>
      <c r="F12" s="176" t="inlineStr">
        <is>
          <t>565</t>
        </is>
      </c>
      <c r="G12" s="176" t="inlineStr">
        <is>
          <t>595</t>
        </is>
      </c>
      <c r="H12" s="176" t="inlineStr">
        <is>
          <t>717</t>
        </is>
      </c>
      <c r="I12" s="176" t="inlineStr">
        <is>
          <t>816</t>
        </is>
      </c>
      <c r="J12" s="176" t="inlineStr">
        <is>
          <t>826</t>
        </is>
      </c>
      <c r="K12" s="176" t="n"/>
      <c r="L12" s="176" t="n"/>
      <c r="M12" s="177" t="n"/>
    </row>
    <row r="13" ht="20.1" customHeight="1" s="152">
      <c r="A13" s="169" t="n"/>
      <c r="B13" s="170" t="n"/>
      <c r="D13" s="175" t="inlineStr">
        <is>
          <t>기타보수및복리후생(기부금)</t>
        </is>
      </c>
      <c r="E13" s="176" t="inlineStr">
        <is>
          <t>13</t>
        </is>
      </c>
      <c r="F13" s="176" t="inlineStr">
        <is>
          <t>16</t>
        </is>
      </c>
      <c r="G13" s="176" t="inlineStr">
        <is>
          <t>18</t>
        </is>
      </c>
      <c r="H13" s="176" t="inlineStr">
        <is>
          <t>16</t>
        </is>
      </c>
      <c r="I13" s="176" t="inlineStr">
        <is>
          <t>18</t>
        </is>
      </c>
      <c r="J13" s="176" t="inlineStr">
        <is>
          <t>20</t>
        </is>
      </c>
      <c r="K13" s="176" t="n"/>
      <c r="L13" s="176" t="n"/>
      <c r="M13" s="177" t="n"/>
    </row>
    <row r="14" ht="20.1" customHeight="1" s="152" thickBot="1">
      <c r="A14" s="169" t="n"/>
      <c r="B14" s="170" t="n"/>
      <c r="C14" s="242" t="n"/>
      <c r="D14" s="209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7" t="n"/>
    </row>
    <row r="15" ht="20.1" customHeight="1" s="152" thickBot="1">
      <c r="A15" s="169" t="n"/>
      <c r="B15" s="170" t="n"/>
      <c r="C15" s="165" t="inlineStr">
        <is>
          <t>법정부담전입금</t>
        </is>
      </c>
      <c r="D15" s="166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8" t="n"/>
    </row>
    <row r="16" ht="20.1" customHeight="1" s="152">
      <c r="A16" s="169" t="n"/>
      <c r="B16" s="170" t="n"/>
      <c r="C16" s="241" t="n"/>
      <c r="D16" s="238" t="inlineStr">
        <is>
          <t>법정부담전입금</t>
        </is>
      </c>
      <c r="E16" s="243" t="inlineStr">
        <is>
          <t>52</t>
        </is>
      </c>
      <c r="F16" s="243" t="inlineStr">
        <is>
          <t>55</t>
        </is>
      </c>
      <c r="G16" s="243" t="inlineStr">
        <is>
          <t>59</t>
        </is>
      </c>
      <c r="H16" s="243" t="inlineStr">
        <is>
          <t>61</t>
        </is>
      </c>
      <c r="I16" s="243" t="inlineStr">
        <is>
          <t>69</t>
        </is>
      </c>
      <c r="J16" s="243" t="inlineStr">
        <is>
          <t>72</t>
        </is>
      </c>
      <c r="K16" s="243" t="n"/>
      <c r="L16" s="243" t="n"/>
      <c r="M16" s="240" t="n"/>
    </row>
    <row r="17" ht="20.1" customHeight="1" s="152" thickBot="1">
      <c r="A17" s="169" t="n"/>
      <c r="B17" s="170" t="n"/>
      <c r="C17" s="242" t="n"/>
      <c r="D17" s="209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7" t="n"/>
    </row>
    <row r="18" ht="20.1" customHeight="1" s="152" thickBot="1">
      <c r="A18" s="169" t="n"/>
      <c r="B18" s="170" t="n"/>
      <c r="C18" s="165" t="inlineStr">
        <is>
          <t>특별목적기부</t>
        </is>
      </c>
      <c r="D18" s="166" t="n"/>
      <c r="E18" s="167" t="n"/>
      <c r="F18" s="167" t="n"/>
      <c r="G18" s="167" t="n"/>
      <c r="H18" s="167" t="n"/>
      <c r="I18" s="167" t="n"/>
      <c r="J18" s="167" t="n"/>
      <c r="K18" s="167" t="n"/>
      <c r="L18" s="167" t="n"/>
      <c r="M18" s="168" t="n"/>
    </row>
    <row r="19" ht="20.1" customHeight="1" s="152">
      <c r="A19" s="169" t="n"/>
      <c r="B19" s="170" t="n"/>
      <c r="C19" s="241" t="n"/>
      <c r="D19" s="238" t="inlineStr">
        <is>
          <t>주식취득</t>
        </is>
      </c>
      <c r="E19" s="243" t="n"/>
      <c r="F19" s="243" t="n"/>
      <c r="G19" s="243" t="n"/>
      <c r="H19" s="243" t="n"/>
      <c r="I19" s="239" t="inlineStr">
        <is>
          <t>33</t>
        </is>
      </c>
      <c r="J19" s="243" t="n"/>
      <c r="K19" s="243" t="n"/>
      <c r="L19" s="243" t="n"/>
      <c r="M19" s="240" t="n"/>
    </row>
    <row r="20" ht="20.1" customHeight="1" s="152" thickBot="1">
      <c r="A20" s="169" t="n"/>
      <c r="B20" s="170" t="n"/>
      <c r="C20" s="242" t="n"/>
      <c r="D20" s="209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7" t="n"/>
    </row>
    <row r="21" ht="20.1" customFormat="1" customHeight="1" s="210" thickBot="1">
      <c r="A21" s="190" t="n"/>
      <c r="B21" s="244" t="inlineStr">
        <is>
          <t>목적수입 계 B</t>
        </is>
      </c>
      <c r="C21" s="192" t="n"/>
      <c r="D21" s="166" t="n"/>
      <c r="E21" s="245" t="n">
        <v>574</v>
      </c>
      <c r="F21" s="245" t="n">
        <v>695</v>
      </c>
      <c r="G21" s="245" t="n">
        <v>734</v>
      </c>
      <c r="H21" s="245" t="n">
        <v>862</v>
      </c>
      <c r="I21" s="245" t="n">
        <v>1002</v>
      </c>
      <c r="J21" s="245" t="n">
        <v>986</v>
      </c>
      <c r="K21" s="245" t="n">
        <v>0</v>
      </c>
      <c r="L21" s="245" t="n">
        <v>0</v>
      </c>
      <c r="M21" s="246" t="n"/>
    </row>
    <row r="22" ht="20.1" customHeight="1" s="152" thickBot="1"/>
    <row r="23" ht="20.1" customHeight="1" s="152" thickBot="1">
      <c r="A23" s="163" t="inlineStr">
        <is>
          <t>목적지출</t>
        </is>
      </c>
      <c r="B23" s="247" t="n"/>
      <c r="C23" s="248" t="inlineStr">
        <is>
          <t>교외장학금</t>
        </is>
      </c>
      <c r="D23" s="166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50" t="n"/>
    </row>
    <row r="24" ht="20.1" customHeight="1" s="152">
      <c r="A24" s="169" t="n"/>
      <c r="B24" s="170" t="n"/>
      <c r="C24" s="251" t="n"/>
      <c r="D24" s="238" t="inlineStr">
        <is>
          <t>교외장학금</t>
        </is>
      </c>
      <c r="E24" s="243" t="inlineStr">
        <is>
          <t>50</t>
        </is>
      </c>
      <c r="F24" s="243" t="inlineStr">
        <is>
          <t>59</t>
        </is>
      </c>
      <c r="G24" s="243" t="inlineStr">
        <is>
          <t>62</t>
        </is>
      </c>
      <c r="H24" s="243" t="inlineStr">
        <is>
          <t>68</t>
        </is>
      </c>
      <c r="I24" s="243" t="inlineStr">
        <is>
          <t>66</t>
        </is>
      </c>
      <c r="J24" s="243" t="inlineStr">
        <is>
          <t>68</t>
        </is>
      </c>
      <c r="K24" s="243" t="n"/>
      <c r="L24" s="243" t="n"/>
      <c r="M24" s="240" t="n"/>
    </row>
    <row r="25" ht="20.1" customHeight="1" s="152" thickBot="1">
      <c r="A25" s="169" t="n"/>
      <c r="B25" s="170" t="n"/>
      <c r="C25" s="242" t="n"/>
      <c r="D25" s="175" t="n"/>
      <c r="E25" s="176" t="n"/>
      <c r="F25" s="176" t="n"/>
      <c r="G25" s="176" t="n"/>
      <c r="H25" s="176" t="n"/>
      <c r="I25" s="176" t="n"/>
      <c r="J25" s="176" t="n"/>
      <c r="K25" s="176" t="n"/>
      <c r="L25" s="176" t="n"/>
      <c r="M25" s="177" t="n"/>
    </row>
    <row r="26" ht="20.1" customHeight="1" s="152" thickBot="1">
      <c r="A26" s="169" t="n"/>
      <c r="B26" s="170" t="n"/>
      <c r="C26" s="248" t="inlineStr">
        <is>
          <t>협력병원근무자보수및경비</t>
        </is>
      </c>
      <c r="D26" s="166" t="n"/>
      <c r="E26" s="249" t="n"/>
      <c r="F26" s="249" t="n"/>
      <c r="G26" s="249" t="n"/>
      <c r="H26" s="249" t="n"/>
      <c r="I26" s="249" t="n"/>
      <c r="J26" s="249" t="n"/>
      <c r="K26" s="249" t="n"/>
      <c r="L26" s="249" t="n"/>
      <c r="M26" s="250" t="n"/>
    </row>
    <row r="27" ht="20.1" customHeight="1" s="152">
      <c r="A27" s="169" t="n"/>
      <c r="B27" s="170" t="n"/>
      <c r="C27" s="189" t="n"/>
      <c r="D27" s="238" t="inlineStr">
        <is>
          <t>임상교원보수(계산서)</t>
        </is>
      </c>
      <c r="E27" s="243" t="inlineStr">
        <is>
          <t>459</t>
        </is>
      </c>
      <c r="F27" s="243" t="inlineStr">
        <is>
          <t>565</t>
        </is>
      </c>
      <c r="G27" s="243" t="inlineStr">
        <is>
          <t>595</t>
        </is>
      </c>
      <c r="H27" s="243" t="inlineStr">
        <is>
          <t>717</t>
        </is>
      </c>
      <c r="I27" s="243" t="inlineStr">
        <is>
          <t>816</t>
        </is>
      </c>
      <c r="J27" s="243" t="inlineStr">
        <is>
          <t>826</t>
        </is>
      </c>
      <c r="K27" s="243" t="n"/>
      <c r="L27" s="243" t="n"/>
      <c r="M27" s="240" t="n"/>
    </row>
    <row r="28" ht="20.1" customHeight="1" s="152">
      <c r="A28" s="169" t="n"/>
      <c r="B28" s="170" t="n"/>
      <c r="D28" s="238" t="inlineStr">
        <is>
          <t>기타보수및복리후생비(기부재원)</t>
        </is>
      </c>
      <c r="E28" s="243" t="inlineStr">
        <is>
          <t>13</t>
        </is>
      </c>
      <c r="F28" s="243" t="inlineStr">
        <is>
          <t>16</t>
        </is>
      </c>
      <c r="G28" s="243" t="inlineStr">
        <is>
          <t>18</t>
        </is>
      </c>
      <c r="H28" s="243" t="inlineStr">
        <is>
          <t>16</t>
        </is>
      </c>
      <c r="I28" s="243" t="inlineStr">
        <is>
          <t>18</t>
        </is>
      </c>
      <c r="J28" s="243" t="inlineStr">
        <is>
          <t>20</t>
        </is>
      </c>
      <c r="K28" s="243" t="n"/>
      <c r="L28" s="243" t="n"/>
      <c r="M28" s="240" t="n"/>
    </row>
    <row r="29" ht="20.1" customHeight="1" s="152" thickBot="1">
      <c r="A29" s="169" t="n"/>
      <c r="B29" s="170" t="n"/>
      <c r="C29" s="179" t="n"/>
      <c r="D29" s="209" t="n"/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7" t="n"/>
    </row>
    <row r="30" ht="20.1" customHeight="1" s="152" thickBot="1">
      <c r="A30" s="169" t="n"/>
      <c r="B30" s="170" t="n"/>
      <c r="C30" s="248" t="inlineStr">
        <is>
          <t>법정부담금</t>
        </is>
      </c>
      <c r="D30" s="166" t="n"/>
      <c r="E30" s="249" t="n"/>
      <c r="F30" s="249" t="n"/>
      <c r="G30" s="249" t="n"/>
      <c r="H30" s="249" t="n"/>
      <c r="I30" s="249" t="n"/>
      <c r="J30" s="249" t="n"/>
      <c r="K30" s="249" t="n"/>
      <c r="L30" s="249" t="n"/>
      <c r="M30" s="250" t="n"/>
    </row>
    <row r="31" ht="20.1" customHeight="1" s="152" thickBot="1">
      <c r="A31" s="169" t="n"/>
      <c r="B31" s="170" t="n"/>
      <c r="C31" s="189" t="n"/>
      <c r="D31" s="252" t="inlineStr">
        <is>
          <t>법정부담금(교직원전체)</t>
        </is>
      </c>
      <c r="E31" s="243" t="inlineStr">
        <is>
          <t>52</t>
        </is>
      </c>
      <c r="F31" s="243" t="inlineStr">
        <is>
          <t>55</t>
        </is>
      </c>
      <c r="G31" s="243" t="inlineStr">
        <is>
          <t>59</t>
        </is>
      </c>
      <c r="H31" s="243" t="inlineStr">
        <is>
          <t>61</t>
        </is>
      </c>
      <c r="I31" s="243" t="inlineStr">
        <is>
          <t>69</t>
        </is>
      </c>
      <c r="J31" s="243" t="inlineStr">
        <is>
          <t>72</t>
        </is>
      </c>
      <c r="K31" s="243" t="n"/>
      <c r="L31" s="243" t="n"/>
      <c r="M31" s="240" t="n"/>
    </row>
    <row r="32" ht="20.1" customHeight="1" s="152" thickBot="1">
      <c r="A32" s="169" t="n"/>
      <c r="B32" s="170" t="n"/>
      <c r="C32" s="248" t="inlineStr">
        <is>
          <t>특별목적기부금 사용</t>
        </is>
      </c>
      <c r="D32" s="166" t="n"/>
      <c r="E32" s="249" t="n"/>
      <c r="F32" s="249" t="n"/>
      <c r="G32" s="249" t="n"/>
      <c r="H32" s="249" t="n"/>
      <c r="I32" s="249" t="n"/>
      <c r="J32" s="249" t="n"/>
      <c r="K32" s="249" t="n"/>
      <c r="L32" s="249" t="n"/>
      <c r="M32" s="250" t="n"/>
    </row>
    <row r="33" ht="20.1" customHeight="1" s="152">
      <c r="A33" s="169" t="n"/>
      <c r="B33" s="170" t="n"/>
      <c r="C33" s="189" t="n"/>
      <c r="D33" s="252" t="inlineStr">
        <is>
          <t>주식취득</t>
        </is>
      </c>
      <c r="E33" s="243" t="n"/>
      <c r="F33" s="243" t="n"/>
      <c r="G33" s="243" t="n"/>
      <c r="H33" s="243" t="n"/>
      <c r="I33" s="239" t="inlineStr">
        <is>
          <t>33</t>
        </is>
      </c>
      <c r="J33" s="243" t="n"/>
      <c r="K33" s="243" t="n"/>
      <c r="L33" s="243" t="n"/>
      <c r="M33" s="240" t="n"/>
    </row>
    <row r="34" ht="20.1" customHeight="1" s="152" thickBot="1">
      <c r="A34" s="169" t="n"/>
      <c r="B34" s="170" t="n"/>
      <c r="C34" s="179" t="n"/>
      <c r="D34" s="209" t="n"/>
      <c r="E34" s="186" t="n"/>
      <c r="F34" s="186" t="n"/>
      <c r="G34" s="186" t="n"/>
      <c r="H34" s="186" t="n"/>
      <c r="I34" s="186" t="n"/>
      <c r="J34" s="186" t="n"/>
      <c r="K34" s="186" t="n"/>
      <c r="L34" s="186" t="n"/>
      <c r="M34" s="187" t="n"/>
    </row>
    <row r="35" ht="20.1" customFormat="1" customHeight="1" s="210" thickBot="1">
      <c r="A35" s="190" t="n"/>
      <c r="B35" s="253" t="inlineStr">
        <is>
          <t>목적지출 계 C</t>
        </is>
      </c>
      <c r="C35" s="254" t="n"/>
      <c r="D35" s="255" t="n"/>
      <c r="E35" s="245" t="n">
        <v>574</v>
      </c>
      <c r="F35" s="245" t="n">
        <v>695</v>
      </c>
      <c r="G35" s="245" t="n">
        <v>734</v>
      </c>
      <c r="H35" s="245" t="n">
        <v>862</v>
      </c>
      <c r="I35" s="245" t="n">
        <v>1002</v>
      </c>
      <c r="J35" s="245" t="n">
        <v>986</v>
      </c>
      <c r="K35" s="245" t="n">
        <v>0</v>
      </c>
      <c r="L35" s="245" t="n">
        <v>0</v>
      </c>
      <c r="M35" s="246" t="n"/>
    </row>
    <row r="36" ht="20.1" customFormat="1" customHeight="1" s="210" thickBot="1">
      <c r="A36" s="211" t="inlineStr">
        <is>
          <t>당기 과부족액 D=B-C</t>
        </is>
      </c>
      <c r="B36" s="192" t="n"/>
      <c r="C36" s="192" t="n"/>
      <c r="D36" s="166" t="n"/>
      <c r="E36" s="212" t="n">
        <v>0</v>
      </c>
      <c r="F36" s="212" t="n">
        <v>0</v>
      </c>
      <c r="G36" s="212" t="n">
        <v>0</v>
      </c>
      <c r="H36" s="212" t="n">
        <v>0</v>
      </c>
      <c r="I36" s="212" t="n">
        <v>0</v>
      </c>
      <c r="J36" s="212" t="n">
        <v>0</v>
      </c>
      <c r="K36" s="212" t="n">
        <v>0</v>
      </c>
      <c r="L36" s="212" t="n">
        <v>0</v>
      </c>
      <c r="M36" s="213" t="n"/>
    </row>
    <row r="37" ht="20.1" customHeight="1" s="152" thickBot="1">
      <c r="D37" s="157" t="n"/>
      <c r="E37" s="157" t="n"/>
      <c r="F37" s="157" t="n"/>
      <c r="G37" s="157" t="n"/>
      <c r="H37" s="157" t="n"/>
      <c r="I37" s="157" t="n"/>
      <c r="J37" s="157" t="n"/>
      <c r="K37" s="157" t="n"/>
      <c r="L37" s="157" t="n"/>
      <c r="M37" s="157" t="n"/>
    </row>
    <row r="38" ht="20.1" customFormat="1" customHeight="1" s="210" thickBot="1">
      <c r="A38" s="211" t="inlineStr">
        <is>
          <t>차기 이월 E=A+D</t>
        </is>
      </c>
      <c r="B38" s="192" t="n"/>
      <c r="C38" s="192" t="n"/>
      <c r="D38" s="166" t="n"/>
      <c r="E38" s="212" t="n">
        <v>0</v>
      </c>
      <c r="F38" s="212" t="n">
        <v>0</v>
      </c>
      <c r="G38" s="212" t="n">
        <v>0</v>
      </c>
      <c r="H38" s="212" t="n">
        <v>0</v>
      </c>
      <c r="I38" s="212" t="n">
        <v>0</v>
      </c>
      <c r="J38" s="212" t="n">
        <v>0</v>
      </c>
      <c r="K38" s="212" t="n">
        <v>0</v>
      </c>
      <c r="L38" s="212" t="n">
        <v>0</v>
      </c>
      <c r="M38" s="213" t="n"/>
    </row>
    <row r="39" ht="20.1" customFormat="1" customHeight="1" s="256">
      <c r="A39" s="257" t="n"/>
      <c r="B39" s="257" t="n"/>
      <c r="C39" s="257" t="n"/>
      <c r="D39" s="257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9" t="n"/>
    </row>
    <row r="40" ht="20.1" customHeight="1" s="152">
      <c r="A40" s="142" t="inlineStr">
        <is>
          <t>*당기 목적수입은 당기에 해당 목적에 사용됨</t>
        </is>
      </c>
      <c r="E40" s="210" t="n"/>
      <c r="F40" s="210" t="n"/>
      <c r="G40" s="210" t="n"/>
      <c r="H40" s="210" t="n"/>
      <c r="I40" s="210" t="n"/>
      <c r="J40" s="210" t="n"/>
      <c r="K40" s="210" t="n"/>
      <c r="L40" s="210" t="n"/>
      <c r="M40" s="142" t="n"/>
    </row>
    <row r="41" ht="20.1" customHeight="1" s="152">
      <c r="A41" s="142" t="inlineStr">
        <is>
          <t>*협력병원근무자에 대한 대가는 협력병원에수 수입되어  당기에 해당 목적에 사용됨</t>
        </is>
      </c>
      <c r="E41" s="210" t="n"/>
      <c r="F41" s="210" t="n"/>
      <c r="G41" s="210" t="n"/>
      <c r="H41" s="210" t="n"/>
      <c r="I41" s="210" t="n"/>
      <c r="J41" s="210" t="n"/>
      <c r="K41" s="210" t="n"/>
      <c r="L41" s="210" t="n"/>
      <c r="M41" s="142" t="n"/>
    </row>
    <row r="42" ht="20.1" customHeight="1" s="152">
      <c r="A42" s="142" t="inlineStr">
        <is>
          <t xml:space="preserve">   (1)임상교원 보수 : 계산서 청구→잡수입  (2)기타보수및복리후생비 : 기부금으로 수입</t>
        </is>
      </c>
      <c r="E42" s="210" t="n"/>
      <c r="F42" s="210" t="n"/>
      <c r="G42" s="210" t="n"/>
      <c r="H42" s="210" t="n"/>
      <c r="I42" s="210" t="n"/>
      <c r="J42" s="210" t="n"/>
      <c r="K42" s="210" t="n"/>
      <c r="L42" s="210" t="n"/>
      <c r="M42" s="142" t="n"/>
    </row>
  </sheetData>
  <mergeCells count="25">
    <mergeCell ref="C27:C29"/>
    <mergeCell ref="C30:D30"/>
    <mergeCell ref="C12:C14"/>
    <mergeCell ref="C15:D15"/>
    <mergeCell ref="A4:D4"/>
    <mergeCell ref="C33:C34"/>
    <mergeCell ref="A38:D38"/>
    <mergeCell ref="C16:C17"/>
    <mergeCell ref="C26:D26"/>
    <mergeCell ref="C18:D18"/>
    <mergeCell ref="L3:M3"/>
    <mergeCell ref="A7:A21"/>
    <mergeCell ref="B6:D6"/>
    <mergeCell ref="A36:D36"/>
    <mergeCell ref="A23:A35"/>
    <mergeCell ref="A1:M1"/>
    <mergeCell ref="C11:D11"/>
    <mergeCell ref="B35:D35"/>
    <mergeCell ref="C23:D23"/>
    <mergeCell ref="C19:C20"/>
    <mergeCell ref="C32:D32"/>
    <mergeCell ref="C7:D7"/>
    <mergeCell ref="B21:D21"/>
    <mergeCell ref="C24:C25"/>
    <mergeCell ref="C8:C10"/>
  </mergeCells>
  <printOptions horizontalCentered="1"/>
  <pageMargins left="0.1968503937007874" right="0.1968503937007874" top="0.5905511811023623" bottom="0.3937007874015748" header="0.1968503937007874" footer="0.1968503937007874"/>
  <pageSetup orientation="portrait" paperSize="9" scale="8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김성천</dc:creator>
  <dcterms:created xsi:type="dcterms:W3CDTF">2024-02-21T02:02:45Z</dcterms:created>
  <dcterms:modified xsi:type="dcterms:W3CDTF">2026-05-13T07:00:19Z</dcterms:modified>
  <cp:lastModifiedBy>이 규성</cp:lastModifiedBy>
  <cp:lastPrinted>2026-03-19T05:29:28Z</cp:lastPrinted>
</cp:coreProperties>
</file>