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기획예산팀\이사회 관련 자료\5월 15일 결산이사회\"/>
    </mc:Choice>
  </mc:AlternateContent>
  <xr:revisionPtr revIDLastSave="0" documentId="8_{532F1CED-C589-4DC8-A2A8-66BFECFC2362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1.등록금등자금" sheetId="11" r:id="rId1"/>
    <sheet name="2.목적자금" sheetId="13" r:id="rId2"/>
  </sheets>
  <definedNames>
    <definedName name="_xlnm.Print_Area" localSheetId="0">'1.등록금등자금'!$A$1:$M$74</definedName>
    <definedName name="_xlnm.Print_Area" localSheetId="1">'2.목적자금'!$A$1:$M$43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1" l="1"/>
  <c r="K49" i="11" l="1"/>
  <c r="J38" i="11"/>
  <c r="K31" i="13" l="1"/>
  <c r="L31" i="13" s="1"/>
  <c r="K27" i="13"/>
  <c r="L27" i="13" s="1"/>
  <c r="K16" i="13"/>
  <c r="L16" i="13"/>
  <c r="L12" i="13"/>
  <c r="K12" i="13"/>
  <c r="L38" i="11" l="1"/>
  <c r="L37" i="11"/>
  <c r="L48" i="11"/>
  <c r="K48" i="11"/>
  <c r="K38" i="11"/>
  <c r="K37" i="11"/>
  <c r="F65" i="11" l="1"/>
  <c r="G65" i="11"/>
  <c r="H65" i="11"/>
  <c r="I65" i="11"/>
  <c r="J65" i="11"/>
  <c r="K65" i="11"/>
  <c r="L65" i="11"/>
  <c r="J30" i="11" l="1"/>
  <c r="J20" i="11"/>
  <c r="K31" i="11" l="1"/>
  <c r="L31" i="11" s="1"/>
  <c r="E65" i="11" l="1"/>
  <c r="I40" i="11" l="1"/>
  <c r="I37" i="11"/>
  <c r="I38" i="11"/>
  <c r="I30" i="11"/>
  <c r="E5" i="11" l="1"/>
  <c r="I11" i="11" l="1"/>
  <c r="H38" i="11" l="1"/>
  <c r="G30" i="11"/>
  <c r="G38" i="11"/>
  <c r="G37" i="11"/>
  <c r="G45" i="11" l="1"/>
  <c r="F30" i="11"/>
  <c r="E30" i="11"/>
  <c r="E38" i="11"/>
  <c r="F38" i="11" l="1"/>
  <c r="F37" i="11"/>
  <c r="F6" i="11" l="1"/>
  <c r="F53" i="11"/>
  <c r="G53" i="11"/>
  <c r="H53" i="11"/>
  <c r="J53" i="11"/>
  <c r="K53" i="11"/>
  <c r="L53" i="11"/>
  <c r="M53" i="11"/>
  <c r="E53" i="11"/>
  <c r="G6" i="11" l="1"/>
  <c r="H6" i="11" s="1"/>
  <c r="I6" i="11" l="1"/>
  <c r="H30" i="11"/>
  <c r="H37" i="11"/>
  <c r="K6" i="11" l="1"/>
  <c r="L6" i="11" s="1"/>
  <c r="I31" i="11"/>
  <c r="H31" i="11" l="1"/>
  <c r="H34" i="11" l="1"/>
  <c r="G34" i="11"/>
  <c r="E34" i="11"/>
  <c r="K47" i="11"/>
  <c r="L47" i="11"/>
  <c r="K39" i="11"/>
  <c r="L39" i="11"/>
  <c r="K35" i="11"/>
  <c r="L35" i="11"/>
  <c r="K29" i="11"/>
  <c r="L29" i="11"/>
  <c r="H49" i="11"/>
  <c r="F48" i="11"/>
  <c r="E48" i="11"/>
  <c r="H45" i="11"/>
  <c r="F45" i="11"/>
  <c r="I39" i="11"/>
  <c r="H44" i="11"/>
  <c r="G44" i="11"/>
  <c r="E44" i="11"/>
  <c r="G36" i="11"/>
  <c r="F36" i="11"/>
  <c r="E36" i="11"/>
  <c r="L23" i="11"/>
  <c r="K23" i="11"/>
  <c r="I23" i="11"/>
  <c r="H23" i="11"/>
  <c r="G23" i="11"/>
  <c r="F23" i="11"/>
  <c r="E23" i="11"/>
  <c r="G13" i="11"/>
  <c r="H13" i="11"/>
  <c r="K13" i="11"/>
  <c r="L13" i="11"/>
  <c r="E13" i="11"/>
  <c r="J13" i="11"/>
  <c r="F13" i="11"/>
  <c r="I13" i="11"/>
  <c r="K9" i="11"/>
  <c r="L9" i="11"/>
  <c r="H39" i="11" l="1"/>
  <c r="G39" i="11"/>
  <c r="F47" i="11"/>
  <c r="G47" i="11"/>
  <c r="L50" i="11"/>
  <c r="H35" i="11"/>
  <c r="J47" i="11"/>
  <c r="F39" i="11"/>
  <c r="I35" i="11"/>
  <c r="F35" i="11"/>
  <c r="J35" i="11"/>
  <c r="K50" i="11"/>
  <c r="J39" i="11"/>
  <c r="F29" i="11"/>
  <c r="J23" i="11"/>
  <c r="H47" i="11"/>
  <c r="G35" i="11"/>
  <c r="E39" i="11"/>
  <c r="I47" i="11"/>
  <c r="K27" i="11"/>
  <c r="L27" i="11"/>
  <c r="F50" i="11" l="1"/>
  <c r="G29" i="11" l="1"/>
  <c r="G50" i="11" s="1"/>
  <c r="I29" i="11"/>
  <c r="I50" i="11" s="1"/>
  <c r="L32" i="13"/>
  <c r="K32" i="13"/>
  <c r="J32" i="13"/>
  <c r="I32" i="13"/>
  <c r="H32" i="13"/>
  <c r="G32" i="13"/>
  <c r="F32" i="13"/>
  <c r="E32" i="13"/>
  <c r="L18" i="13"/>
  <c r="K18" i="13"/>
  <c r="J18" i="13"/>
  <c r="I18" i="13"/>
  <c r="H18" i="13"/>
  <c r="G18" i="13"/>
  <c r="F18" i="13"/>
  <c r="E18" i="13"/>
  <c r="I9" i="11" l="1"/>
  <c r="I27" i="11" l="1"/>
  <c r="I51" i="11" s="1"/>
  <c r="L30" i="13"/>
  <c r="K30" i="13"/>
  <c r="J30" i="13"/>
  <c r="I30" i="13"/>
  <c r="H30" i="13"/>
  <c r="G30" i="13"/>
  <c r="F30" i="13"/>
  <c r="E30" i="13"/>
  <c r="L26" i="13"/>
  <c r="K26" i="13"/>
  <c r="J26" i="13"/>
  <c r="I26" i="13"/>
  <c r="H26" i="13"/>
  <c r="G26" i="13"/>
  <c r="F26" i="13"/>
  <c r="E26" i="13"/>
  <c r="L23" i="13"/>
  <c r="K23" i="13"/>
  <c r="J23" i="13"/>
  <c r="I23" i="13"/>
  <c r="H23" i="13"/>
  <c r="G23" i="13"/>
  <c r="F23" i="13"/>
  <c r="E23" i="13"/>
  <c r="L11" i="13"/>
  <c r="K11" i="13"/>
  <c r="J11" i="13"/>
  <c r="I11" i="13"/>
  <c r="H11" i="13"/>
  <c r="G11" i="13"/>
  <c r="F11" i="13"/>
  <c r="E11" i="13"/>
  <c r="L7" i="13"/>
  <c r="K7" i="13"/>
  <c r="J7" i="13"/>
  <c r="I7" i="13"/>
  <c r="H7" i="13"/>
  <c r="G7" i="13"/>
  <c r="F7" i="13"/>
  <c r="E7" i="13"/>
  <c r="F35" i="13" l="1"/>
  <c r="H35" i="13"/>
  <c r="E35" i="13"/>
  <c r="G35" i="13"/>
  <c r="I35" i="13"/>
  <c r="J35" i="13"/>
  <c r="K35" i="13"/>
  <c r="L35" i="13"/>
  <c r="E10" i="11" l="1"/>
  <c r="E11" i="11"/>
  <c r="E9" i="11" l="1"/>
  <c r="E27" i="11" s="1"/>
  <c r="F11" i="11"/>
  <c r="F9" i="11" s="1"/>
  <c r="F27" i="11" s="1"/>
  <c r="J29" i="11" l="1"/>
  <c r="J50" i="11" s="1"/>
  <c r="J9" i="11"/>
  <c r="J27" i="11" s="1"/>
  <c r="H11" i="11" l="1"/>
  <c r="H9" i="11" s="1"/>
  <c r="H27" i="11" s="1"/>
  <c r="G11" i="11"/>
  <c r="G9" i="11" s="1"/>
  <c r="G27" i="11" s="1"/>
  <c r="H33" i="11" l="1"/>
  <c r="H29" i="11" l="1"/>
  <c r="H50" i="11" s="1"/>
  <c r="E47" i="11"/>
  <c r="E35" i="11"/>
  <c r="E29" i="11"/>
  <c r="E50" i="11" l="1"/>
  <c r="E51" i="11" s="1"/>
  <c r="E67" i="11" s="1"/>
  <c r="F4" i="11" s="1"/>
  <c r="L51" i="11"/>
  <c r="K51" i="11"/>
  <c r="F51" i="11"/>
  <c r="G51" i="11"/>
  <c r="H51" i="11"/>
  <c r="J51" i="11"/>
  <c r="F67" i="11" l="1"/>
  <c r="G4" i="11" s="1"/>
  <c r="G67" i="11" s="1"/>
  <c r="H4" i="11" s="1"/>
  <c r="H67" i="11" s="1"/>
  <c r="I4" i="11" s="1"/>
  <c r="I67" i="11" s="1"/>
  <c r="J4" i="11" s="1"/>
  <c r="J67" i="11" s="1"/>
  <c r="K4" i="11" s="1"/>
  <c r="K67" i="11" s="1"/>
  <c r="L4" i="11" s="1"/>
  <c r="L67" i="11" s="1"/>
  <c r="F5" i="11"/>
  <c r="E15" i="13"/>
  <c r="E21" i="13" s="1"/>
  <c r="E36" i="13" s="1"/>
  <c r="E38" i="13" s="1"/>
  <c r="F4" i="13" s="1"/>
  <c r="F15" i="13"/>
  <c r="F21" i="13" s="1"/>
  <c r="F36" i="13" s="1"/>
  <c r="G15" i="13"/>
  <c r="H15" i="13"/>
  <c r="I15" i="13"/>
  <c r="J15" i="13"/>
  <c r="K15" i="13"/>
  <c r="K21" i="13" s="1"/>
  <c r="K36" i="13" s="1"/>
  <c r="L15" i="13"/>
  <c r="G21" i="13" l="1"/>
  <c r="G36" i="13" s="1"/>
  <c r="I21" i="13"/>
  <c r="I36" i="13" s="1"/>
  <c r="L21" i="13"/>
  <c r="L36" i="13" s="1"/>
  <c r="J21" i="13"/>
  <c r="J36" i="13" s="1"/>
  <c r="H21" i="13"/>
  <c r="H36" i="13" s="1"/>
  <c r="F38" i="13"/>
  <c r="G4" i="13" s="1"/>
  <c r="G5" i="11" l="1"/>
  <c r="G38" i="13"/>
  <c r="H4" i="13" s="1"/>
  <c r="H38" i="13" s="1"/>
  <c r="I4" i="13" s="1"/>
  <c r="I38" i="13" s="1"/>
  <c r="J4" i="13" s="1"/>
  <c r="J38" i="13" s="1"/>
  <c r="K4" i="13" s="1"/>
  <c r="K38" i="13" s="1"/>
  <c r="L4" i="13" s="1"/>
  <c r="L38" i="13" s="1"/>
  <c r="H5" i="11" l="1"/>
  <c r="I5" i="11" l="1"/>
  <c r="L5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기획예산</author>
    <author>CHA</author>
    <author>pjs</author>
  </authors>
  <commentList>
    <comment ref="A4" authorId="0" shapeId="0" xr:uid="{2ACA3E40-DD21-4672-AB46-7E227793D455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21</t>
        </r>
        <r>
          <rPr>
            <sz val="9"/>
            <color indexed="81"/>
            <rFont val="돋움"/>
            <family val="3"/>
            <charset val="129"/>
          </rPr>
          <t>년도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전기이월금</t>
        </r>
        <r>
          <rPr>
            <sz val="9"/>
            <color indexed="81"/>
            <rFont val="Tahoma"/>
            <family val="2"/>
          </rPr>
          <t xml:space="preserve"> 162</t>
        </r>
        <r>
          <rPr>
            <sz val="9"/>
            <color indexed="81"/>
            <rFont val="돋움"/>
            <family val="3"/>
            <charset val="129"/>
          </rPr>
          <t xml:space="preserve">억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운영자금</t>
        </r>
        <r>
          <rPr>
            <sz val="9"/>
            <color indexed="81"/>
            <rFont val="Tahoma"/>
            <family val="2"/>
          </rPr>
          <t xml:space="preserve"> 95</t>
        </r>
        <r>
          <rPr>
            <sz val="9"/>
            <color indexed="81"/>
            <rFont val="돋움"/>
            <family val="3"/>
            <charset val="129"/>
          </rPr>
          <t xml:space="preserve">억원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등록금기금</t>
        </r>
        <r>
          <rPr>
            <sz val="9"/>
            <color indexed="81"/>
            <rFont val="Tahoma"/>
            <family val="2"/>
          </rPr>
          <t>: 9</t>
        </r>
        <r>
          <rPr>
            <sz val="9"/>
            <color indexed="81"/>
            <rFont val="돋움"/>
            <family val="3"/>
            <charset val="129"/>
          </rPr>
          <t xml:space="preserve">억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기부금</t>
        </r>
        <r>
          <rPr>
            <sz val="9"/>
            <color indexed="81"/>
            <rFont val="Tahoma"/>
            <family val="2"/>
          </rPr>
          <t xml:space="preserve"> 58</t>
        </r>
        <r>
          <rPr>
            <sz val="9"/>
            <color indexed="81"/>
            <rFont val="돋움"/>
            <family val="3"/>
            <charset val="129"/>
          </rPr>
          <t>억</t>
        </r>
      </text>
    </comment>
    <comment ref="D5" authorId="0" shapeId="0" xr:uid="{0EA3E4D9-1A6E-45E7-A3BF-0B1E688998DC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돋움"/>
            <family val="3"/>
            <charset val="129"/>
          </rPr>
          <t>운영비</t>
        </r>
        <r>
          <rPr>
            <b/>
            <sz val="9"/>
            <color indexed="81"/>
            <rFont val="Tahoma"/>
            <family val="2"/>
          </rPr>
          <t>: 95</t>
        </r>
        <r>
          <rPr>
            <b/>
            <sz val="9"/>
            <color indexed="81"/>
            <rFont val="돋움"/>
            <family val="3"/>
            <charset val="129"/>
          </rPr>
          <t>억원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등록금기금적립</t>
        </r>
        <r>
          <rPr>
            <b/>
            <sz val="9"/>
            <color indexed="81"/>
            <rFont val="Tahoma"/>
            <family val="2"/>
          </rPr>
          <t>: 9</t>
        </r>
        <r>
          <rPr>
            <b/>
            <sz val="9"/>
            <color indexed="81"/>
            <rFont val="돋움"/>
            <family val="3"/>
            <charset val="129"/>
          </rPr>
          <t>억원</t>
        </r>
      </text>
    </comment>
    <comment ref="J10" authorId="1" shapeId="0" xr:uid="{539253D9-3F3F-45D4-B315-A23E7649DA2A}">
      <text>
        <r>
          <rPr>
            <b/>
            <sz val="9"/>
            <color indexed="81"/>
            <rFont val="Tahoma"/>
            <family val="2"/>
          </rPr>
          <t xml:space="preserve">CHA:
</t>
        </r>
        <r>
          <rPr>
            <b/>
            <sz val="9"/>
            <color indexed="81"/>
            <rFont val="돋움"/>
            <family val="3"/>
            <charset val="129"/>
          </rPr>
          <t>학부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수업료</t>
        </r>
        <r>
          <rPr>
            <b/>
            <sz val="9"/>
            <color indexed="81"/>
            <rFont val="Tahoma"/>
            <family val="2"/>
          </rPr>
          <t xml:space="preserve">: 167.4
</t>
        </r>
      </text>
    </comment>
    <comment ref="K10" authorId="1" shapeId="0" xr:uid="{E3E0162D-A431-479B-BEA6-5FFF6B542CDE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학부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수업료</t>
        </r>
        <r>
          <rPr>
            <sz val="9"/>
            <color indexed="81"/>
            <rFont val="Tahoma"/>
            <family val="2"/>
          </rPr>
          <t xml:space="preserve">: 165.8
</t>
        </r>
        <r>
          <rPr>
            <sz val="9"/>
            <color indexed="81"/>
            <rFont val="돋움"/>
            <family val="3"/>
            <charset val="129"/>
          </rPr>
          <t>외국인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수업료</t>
        </r>
        <r>
          <rPr>
            <sz val="9"/>
            <color indexed="81"/>
            <rFont val="Tahoma"/>
            <family val="2"/>
          </rPr>
          <t>: 18.0</t>
        </r>
      </text>
    </comment>
    <comment ref="L10" authorId="1" shapeId="0" xr:uid="{3A1CBB6B-0EAA-4385-936D-4DCD517D0D0F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학부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수업료</t>
        </r>
        <r>
          <rPr>
            <sz val="9"/>
            <color indexed="81"/>
            <rFont val="Tahoma"/>
            <family val="2"/>
          </rPr>
          <t xml:space="preserve">: 174.6
</t>
        </r>
        <r>
          <rPr>
            <sz val="9"/>
            <color indexed="81"/>
            <rFont val="돋움"/>
            <family val="3"/>
            <charset val="129"/>
          </rPr>
          <t>외국인수업료</t>
        </r>
        <r>
          <rPr>
            <sz val="9"/>
            <color indexed="81"/>
            <rFont val="Tahoma"/>
            <family val="2"/>
          </rPr>
          <t>: 25.8</t>
        </r>
      </text>
    </comment>
    <comment ref="I15" authorId="1" shapeId="0" xr:uid="{A5669B09-BEF4-4EE5-8336-D9AAEC585F22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2025: 9.7</t>
        </r>
        <r>
          <rPr>
            <sz val="9"/>
            <color indexed="81"/>
            <rFont val="돋움"/>
            <family val="3"/>
            <charset val="129"/>
          </rPr>
          <t>억</t>
        </r>
      </text>
    </comment>
    <comment ref="J15" authorId="1" shapeId="0" xr:uid="{910A26DA-042C-4ECF-8E27-94F29EB98B9A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2026 </t>
        </r>
        <r>
          <rPr>
            <sz val="9"/>
            <color indexed="81"/>
            <rFont val="돋움"/>
            <family val="3"/>
            <charset val="129"/>
          </rPr>
          <t>본예산</t>
        </r>
        <r>
          <rPr>
            <sz val="9"/>
            <color indexed="81"/>
            <rFont val="Tahoma"/>
            <family val="2"/>
          </rPr>
          <t>: 10.4</t>
        </r>
        <r>
          <rPr>
            <sz val="9"/>
            <color indexed="81"/>
            <rFont val="돋움"/>
            <family val="3"/>
            <charset val="129"/>
          </rPr>
          <t>억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이자수입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학사시스템상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</t>
        </r>
        <r>
          <rPr>
            <sz val="9"/>
            <color indexed="81"/>
            <rFont val="Tahoma"/>
            <family val="2"/>
          </rPr>
          <t xml:space="preserve">)
</t>
        </r>
      </text>
    </comment>
    <comment ref="J16" authorId="1" shapeId="0" xr:uid="{D1137890-2D9B-448F-90AA-DB41EB500C41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증명료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대여료및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기타교육부대수입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포함
</t>
        </r>
      </text>
    </comment>
    <comment ref="K16" authorId="1" shapeId="0" xr:uid="{57F6508A-FF81-4166-A435-95D57EBB4BEA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증명료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대여료및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기타교육부대수입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포함
</t>
        </r>
      </text>
    </comment>
    <comment ref="L16" authorId="1" shapeId="0" xr:uid="{9EB9182E-F1B1-4EA6-B11D-DA2CE1DA22F1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증명료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대여료및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사용료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기타교육부대수입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포함
</t>
        </r>
      </text>
    </comment>
    <comment ref="R16" authorId="0" shapeId="0" xr:uid="{AED78018-8F17-467E-A686-FD588A1EFA33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기숙사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대여료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잡혀져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부분만큼을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제외하고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산정해야합니다</t>
        </r>
        <r>
          <rPr>
            <sz val="9"/>
            <color indexed="81"/>
            <rFont val="Tahoma"/>
            <family val="2"/>
          </rPr>
          <t>. 
25</t>
        </r>
        <r>
          <rPr>
            <sz val="9"/>
            <color indexed="81"/>
            <rFont val="돋움"/>
            <family val="3"/>
            <charset val="129"/>
          </rPr>
          <t>년대비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증가한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사유는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글로벌교육원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기숙사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증가로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판단됩니다</t>
        </r>
        <r>
          <rPr>
            <sz val="9"/>
            <color indexed="81"/>
            <rFont val="Tahoma"/>
            <family val="2"/>
          </rPr>
          <t>.</t>
        </r>
      </text>
    </comment>
    <comment ref="J20" authorId="0" shapeId="0" xr:uid="{87065D3D-FFEE-4527-864E-2AEA07057AC5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이자수입에서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임의건축기금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임의특정목적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</text>
    </comment>
    <comment ref="K20" authorId="1" shapeId="0" xr:uid="{B0CC3629-386B-454F-A49A-3D79F1F353DD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기채이자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포함</t>
        </r>
      </text>
    </comment>
    <comment ref="L20" authorId="1" shapeId="0" xr:uid="{248565EE-63C4-49E7-B8D1-7F8FE2616417}">
      <text>
        <r>
          <rPr>
            <b/>
            <sz val="9"/>
            <color indexed="81"/>
            <rFont val="Tahoma"/>
            <family val="2"/>
          </rPr>
          <t xml:space="preserve">CHA:
</t>
        </r>
        <r>
          <rPr>
            <b/>
            <sz val="9"/>
            <color indexed="81"/>
            <rFont val="돋움"/>
            <family val="3"/>
            <charset val="129"/>
          </rPr>
          <t>기채이자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잔여액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</text>
    </comment>
    <comment ref="J21" authorId="1" shapeId="0" xr:uid="{A521800E-CFB5-4366-90C2-7239B1F64FE5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26 </t>
        </r>
        <r>
          <rPr>
            <sz val="9"/>
            <color indexed="81"/>
            <rFont val="돋움"/>
            <family val="3"/>
            <charset val="129"/>
          </rPr>
          <t>예산서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참고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현실화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어떤부분이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빠지는지</t>
        </r>
        <r>
          <rPr>
            <sz val="9"/>
            <color indexed="81"/>
            <rFont val="Tahoma"/>
            <family val="2"/>
          </rPr>
          <t>?)</t>
        </r>
      </text>
    </comment>
    <comment ref="R25" authorId="0" shapeId="0" xr:uid="{AF834AC4-3E76-451E-AE55-B5DE32E97C32}">
      <text>
        <r>
          <rPr>
            <b/>
            <sz val="9"/>
            <color indexed="81"/>
            <rFont val="돋움"/>
            <family val="3"/>
            <charset val="129"/>
          </rPr>
          <t xml:space="preserve">기획예산
</t>
        </r>
        <r>
          <rPr>
            <b/>
            <sz val="9"/>
            <color indexed="81"/>
            <rFont val="Tahoma"/>
            <family val="2"/>
          </rPr>
          <t xml:space="preserve">RiSE </t>
        </r>
        <r>
          <rPr>
            <b/>
            <sz val="9"/>
            <color indexed="81"/>
            <rFont val="돋움"/>
            <family val="3"/>
            <charset val="129"/>
          </rPr>
          <t>사업은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산단회계로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편성됨에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따라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추가적으로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편성할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같습니다</t>
        </r>
        <r>
          <rPr>
            <b/>
            <sz val="9"/>
            <color indexed="81"/>
            <rFont val="Tahoma"/>
            <family val="2"/>
          </rPr>
          <t xml:space="preserve">. 
</t>
        </r>
        <r>
          <rPr>
            <b/>
            <sz val="9"/>
            <color indexed="81"/>
            <rFont val="돋움"/>
            <family val="3"/>
            <charset val="129"/>
          </rPr>
          <t>또한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마약류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사업등은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적어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않아도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같습니다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D30" authorId="2" shapeId="0" xr:uid="{C20DA386-392D-407C-8615-96CCE59C974E}">
      <text>
        <r>
          <rPr>
            <sz val="9"/>
            <color indexed="81"/>
            <rFont val="돋움"/>
            <family val="3"/>
            <charset val="129"/>
          </rPr>
          <t>비임상교원 = 전체 교원인건비-임상교원인건비- 기초교수 중 의료재단 소속 인건비-해외연수교원 인건비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J30" authorId="1" shapeId="0" xr:uid="{EC73FAA2-B20D-4A58-82F1-606AD9933D46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전체교원인건비</t>
        </r>
        <r>
          <rPr>
            <sz val="9"/>
            <color indexed="81"/>
            <rFont val="Tahoma"/>
            <family val="2"/>
          </rPr>
          <t xml:space="preserve">: 948
</t>
        </r>
        <r>
          <rPr>
            <sz val="9"/>
            <color indexed="81"/>
            <rFont val="돋움"/>
            <family val="3"/>
            <charset val="129"/>
          </rPr>
          <t>임상교원인건비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잡수입</t>
        </r>
        <r>
          <rPr>
            <sz val="9"/>
            <color indexed="81"/>
            <rFont val="Tahoma"/>
            <family val="2"/>
          </rPr>
          <t>): 826
*</t>
        </r>
        <r>
          <rPr>
            <sz val="9"/>
            <color indexed="81"/>
            <rFont val="돋움"/>
            <family val="3"/>
            <charset val="129"/>
          </rPr>
          <t>내부거래표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해외연수자</t>
        </r>
        <r>
          <rPr>
            <sz val="9"/>
            <color indexed="81"/>
            <rFont val="Tahoma"/>
            <family val="2"/>
          </rPr>
          <t xml:space="preserve">: 5
</t>
        </r>
        <r>
          <rPr>
            <sz val="9"/>
            <color indexed="81"/>
            <rFont val="돋움"/>
            <family val="3"/>
            <charset val="129"/>
          </rPr>
          <t>기초교원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병원근무자</t>
        </r>
        <r>
          <rPr>
            <sz val="9"/>
            <color indexed="81"/>
            <rFont val="Tahoma"/>
            <family val="2"/>
          </rPr>
          <t>: 8.4</t>
        </r>
      </text>
    </comment>
    <comment ref="T30" authorId="0" shapeId="0" xr:uid="{00D820A8-2114-4603-A4C3-CC9C3A6F9921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교원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급여지원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내부거래표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추경시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재무에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요청해서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받음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확인하시면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됩니다</t>
        </r>
        <r>
          <rPr>
            <sz val="9"/>
            <color indexed="81"/>
            <rFont val="Tahoma"/>
            <family val="2"/>
          </rPr>
          <t xml:space="preserve">. 
</t>
        </r>
        <r>
          <rPr>
            <sz val="9"/>
            <color indexed="81"/>
            <rFont val="돋움"/>
            <family val="3"/>
            <charset val="129"/>
          </rPr>
          <t>연수교원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인건비는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저희가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관리하는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엑셀시트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기부금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탭에서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있습니다</t>
        </r>
        <r>
          <rPr>
            <sz val="9"/>
            <color indexed="81"/>
            <rFont val="Tahoma"/>
            <family val="2"/>
          </rPr>
          <t xml:space="preserve">. 
</t>
        </r>
      </text>
    </comment>
    <comment ref="D31" authorId="2" shapeId="0" xr:uid="{FEA76CA4-BC9F-4DD5-B859-042EEE829594}">
      <text>
        <r>
          <rPr>
            <b/>
            <sz val="12"/>
            <color indexed="81"/>
            <rFont val="돋움"/>
            <family val="3"/>
            <charset val="129"/>
          </rPr>
          <t>급여</t>
        </r>
        <r>
          <rPr>
            <b/>
            <sz val="12"/>
            <color indexed="81"/>
            <rFont val="Tahoma"/>
            <family val="2"/>
          </rPr>
          <t>+</t>
        </r>
        <r>
          <rPr>
            <b/>
            <sz val="12"/>
            <color indexed="81"/>
            <rFont val="돋움"/>
            <family val="3"/>
            <charset val="129"/>
          </rPr>
          <t>수당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D33" authorId="2" shapeId="0" xr:uid="{B7B56CF9-E228-4BDF-840A-17337888BFEA}">
      <text>
        <r>
          <rPr>
            <sz val="12"/>
            <color indexed="81"/>
            <rFont val="돋움"/>
            <family val="3"/>
            <charset val="129"/>
          </rPr>
          <t>교원</t>
        </r>
        <r>
          <rPr>
            <sz val="12"/>
            <color indexed="81"/>
            <rFont val="Tahoma"/>
            <family val="2"/>
          </rPr>
          <t>+</t>
        </r>
        <r>
          <rPr>
            <sz val="12"/>
            <color indexed="81"/>
            <rFont val="돋움"/>
            <family val="3"/>
            <charset val="129"/>
          </rPr>
          <t>직원</t>
        </r>
      </text>
    </comment>
    <comment ref="D34" authorId="2" shapeId="0" xr:uid="{A136BC98-87BB-41AF-B41E-5A3F24E5E437}">
      <text>
        <r>
          <rPr>
            <b/>
            <sz val="12"/>
            <color indexed="81"/>
            <rFont val="돋움"/>
            <family val="3"/>
            <charset val="129"/>
          </rPr>
          <t>시간</t>
        </r>
        <r>
          <rPr>
            <b/>
            <sz val="12"/>
            <color indexed="81"/>
            <rFont val="Tahoma"/>
            <family val="2"/>
          </rPr>
          <t>+</t>
        </r>
        <r>
          <rPr>
            <b/>
            <sz val="12"/>
            <color indexed="81"/>
            <rFont val="돋움"/>
            <family val="3"/>
            <charset val="129"/>
          </rPr>
          <t>특별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D37" authorId="0" shapeId="0" xr:uid="{7F00AFF1-024E-4C08-8E82-8A7420BBCA23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sz val="9"/>
            <color indexed="81"/>
            <rFont val="돋움"/>
            <family val="3"/>
            <charset val="129"/>
          </rPr>
          <t>재단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장애인고용부담금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강남차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주민세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제외</t>
        </r>
      </text>
    </comment>
    <comment ref="D38" authorId="0" shapeId="0" xr:uid="{75A6839F-F2DB-4E59-8CFF-B7E841B048E4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임상교원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학자금지원금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제외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복리후생비</t>
        </r>
        <r>
          <rPr>
            <sz val="9"/>
            <color indexed="81"/>
            <rFont val="Tahoma"/>
            <family val="2"/>
          </rPr>
          <t>)</t>
        </r>
      </text>
    </comment>
    <comment ref="J43" authorId="1" shapeId="0" xr:uid="{75D2EF3F-3B2F-4CE7-A949-E3D1BA5E2FEC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예산기준
혁신</t>
        </r>
        <r>
          <rPr>
            <sz val="9"/>
            <color indexed="81"/>
            <rFont val="Tahoma"/>
            <family val="2"/>
          </rPr>
          <t xml:space="preserve"> 2.08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45" authorId="0" shapeId="0" xr:uid="{8361C8F7-9ED9-4CF4-B339-AB63ABDB3899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교육외비용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포함
</t>
        </r>
      </text>
    </comment>
    <comment ref="J48" authorId="1" shapeId="0" xr:uid="{2CD837E6-C415-4BAF-B22C-9FC4A99D3ED5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2026 </t>
        </r>
        <r>
          <rPr>
            <sz val="9"/>
            <color indexed="81"/>
            <rFont val="돋움"/>
            <family val="3"/>
            <charset val="129"/>
          </rPr>
          <t>예산서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기준</t>
        </r>
      </text>
    </comment>
    <comment ref="J49" authorId="1" shapeId="0" xr:uid="{6A2E3AC8-D9DF-4635-AAC9-CB63C7906DC7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집기비품</t>
        </r>
        <r>
          <rPr>
            <sz val="9"/>
            <color indexed="81"/>
            <rFont val="Tahoma"/>
            <family val="2"/>
          </rPr>
          <t xml:space="preserve">: 0.7+1.6
</t>
        </r>
        <r>
          <rPr>
            <sz val="9"/>
            <color indexed="81"/>
            <rFont val="돋움"/>
            <family val="3"/>
            <charset val="129"/>
          </rPr>
          <t>도서구입</t>
        </r>
        <r>
          <rPr>
            <sz val="9"/>
            <color indexed="81"/>
            <rFont val="Tahoma"/>
            <family val="2"/>
          </rPr>
          <t>: 2.8+0.1</t>
        </r>
      </text>
    </comment>
    <comment ref="K49" authorId="1" shapeId="0" xr:uid="{038A77C7-827E-4203-AD60-84BB2303B661}">
      <text>
        <r>
          <rPr>
            <b/>
            <sz val="9"/>
            <color indexed="81"/>
            <rFont val="Tahoma"/>
            <family val="2"/>
          </rPr>
          <t>CHA: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집기비품매입</t>
        </r>
        <r>
          <rPr>
            <sz val="9"/>
            <color indexed="81"/>
            <rFont val="Tahoma"/>
            <family val="2"/>
          </rPr>
          <t>: 1</t>
        </r>
        <r>
          <rPr>
            <sz val="9"/>
            <color indexed="81"/>
            <rFont val="돋움"/>
            <family val="3"/>
            <charset val="129"/>
          </rPr>
          <t xml:space="preserve">
도서구입</t>
        </r>
        <r>
          <rPr>
            <sz val="9"/>
            <color indexed="81"/>
            <rFont val="Tahoma"/>
            <family val="2"/>
          </rPr>
          <t>: 3</t>
        </r>
      </text>
    </comment>
    <comment ref="E57" authorId="2" shapeId="0" xr:uid="{9E852ECC-7734-465A-97D9-21C7C24F3468}">
      <text>
        <r>
          <rPr>
            <b/>
            <sz val="12"/>
            <color indexed="81"/>
            <rFont val="Tahoma"/>
            <family val="2"/>
          </rPr>
          <t>pjs: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과학관</t>
        </r>
        <r>
          <rPr>
            <sz val="12"/>
            <color indexed="81"/>
            <rFont val="Tahoma"/>
            <family val="2"/>
          </rPr>
          <t xml:space="preserve">42, </t>
        </r>
        <r>
          <rPr>
            <sz val="12"/>
            <color indexed="81"/>
            <rFont val="돋움"/>
            <family val="3"/>
            <charset val="129"/>
          </rPr>
          <t>동교동</t>
        </r>
        <r>
          <rPr>
            <sz val="12"/>
            <color indexed="81"/>
            <rFont val="Tahoma"/>
            <family val="2"/>
          </rPr>
          <t>200</t>
        </r>
        <r>
          <rPr>
            <sz val="12"/>
            <color indexed="81"/>
            <rFont val="돋움"/>
            <family val="3"/>
            <charset val="129"/>
          </rPr>
          <t>매입</t>
        </r>
        <r>
          <rPr>
            <sz val="12"/>
            <color indexed="81"/>
            <rFont val="Tahoma"/>
            <family val="2"/>
          </rPr>
          <t xml:space="preserve"> 5
</t>
        </r>
      </text>
    </comment>
    <comment ref="J57" authorId="0" shapeId="0" xr:uid="{200A4230-0AFA-4FDA-828D-3BADD2CEA718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과학관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시스템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에어컨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교체</t>
        </r>
      </text>
    </comment>
    <comment ref="J60" authorId="2" shapeId="0" xr:uid="{862EA5A0-104E-45A6-89FD-2AA9189A5BE7}">
      <text>
        <r>
          <rPr>
            <b/>
            <sz val="12"/>
            <color indexed="81"/>
            <rFont val="돋움"/>
            <family val="3"/>
            <charset val="129"/>
          </rPr>
          <t>적립금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활용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미래관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건축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비용</t>
        </r>
        <r>
          <rPr>
            <sz val="12"/>
            <color indexed="81"/>
            <rFont val="Tahoma"/>
            <family val="2"/>
          </rPr>
          <t xml:space="preserve"> 22</t>
        </r>
        <r>
          <rPr>
            <sz val="12"/>
            <color indexed="81"/>
            <rFont val="돋움"/>
            <family val="3"/>
            <charset val="129"/>
          </rPr>
          <t>억원
나머지</t>
        </r>
        <r>
          <rPr>
            <sz val="12"/>
            <color indexed="81"/>
            <rFont val="Tahoma"/>
            <family val="2"/>
          </rPr>
          <t xml:space="preserve"> 7</t>
        </r>
        <r>
          <rPr>
            <sz val="12"/>
            <color indexed="81"/>
            <rFont val="돋움"/>
            <family val="3"/>
            <charset val="129"/>
          </rPr>
          <t>억원은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기타자금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재원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활용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예정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기획예산</author>
    <author>pjs</author>
  </authors>
  <commentList>
    <comment ref="K12" authorId="0" shapeId="0" xr:uid="{04D8386B-2A8E-4D2F-9164-C96B3C3C1C35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임상교원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급여는</t>
        </r>
        <r>
          <rPr>
            <sz val="9"/>
            <color indexed="81"/>
            <rFont val="Tahoma"/>
            <family val="2"/>
          </rPr>
          <t xml:space="preserve"> 3%</t>
        </r>
        <r>
          <rPr>
            <sz val="9"/>
            <color indexed="81"/>
            <rFont val="돋움"/>
            <family val="3"/>
            <charset val="129"/>
          </rPr>
          <t>인상으로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가정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E13" authorId="1" shapeId="0" xr:uid="{6F5B7B1D-31E8-446F-831A-D5E6A9B5E54B}">
      <text>
        <r>
          <rPr>
            <b/>
            <sz val="12"/>
            <color indexed="81"/>
            <rFont val="Tahoma"/>
            <family val="2"/>
          </rPr>
          <t>pjs: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잡수입</t>
        </r>
      </text>
    </comment>
    <comment ref="K13" authorId="0" shapeId="0" xr:uid="{627EBA38-9D8D-45F1-90D2-5D8000BEBCF3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기부금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예측할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동일하다고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가정</t>
        </r>
      </text>
    </comment>
    <comment ref="K16" authorId="0" shapeId="0" xr:uid="{74BD2EFC-6406-4315-823A-E24B3FEAD30D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법정부담금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급여</t>
        </r>
        <r>
          <rPr>
            <sz val="9"/>
            <color indexed="81"/>
            <rFont val="Tahoma"/>
            <family val="2"/>
          </rPr>
          <t xml:space="preserve"> 3% </t>
        </r>
        <r>
          <rPr>
            <sz val="9"/>
            <color indexed="81"/>
            <rFont val="돋움"/>
            <family val="3"/>
            <charset val="129"/>
          </rPr>
          <t>인상분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반영
</t>
        </r>
      </text>
    </comment>
    <comment ref="K27" authorId="0" shapeId="0" xr:uid="{A80F6F21-8EEB-4912-A2EA-5C79CF0A9392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임상교원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급여는</t>
        </r>
        <r>
          <rPr>
            <sz val="9"/>
            <color indexed="81"/>
            <rFont val="Tahoma"/>
            <family val="2"/>
          </rPr>
          <t xml:space="preserve"> 3%</t>
        </r>
        <r>
          <rPr>
            <sz val="9"/>
            <color indexed="81"/>
            <rFont val="돋움"/>
            <family val="3"/>
            <charset val="129"/>
          </rPr>
          <t>인상으로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가정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K31" authorId="0" shapeId="0" xr:uid="{5719A21D-7523-44A1-B294-3736F26F28D6}">
      <text>
        <r>
          <rPr>
            <b/>
            <sz val="9"/>
            <color indexed="81"/>
            <rFont val="돋움"/>
            <family val="3"/>
            <charset val="129"/>
          </rPr>
          <t>기획예산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법정부담금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급여</t>
        </r>
        <r>
          <rPr>
            <sz val="9"/>
            <color indexed="81"/>
            <rFont val="Tahoma"/>
            <family val="2"/>
          </rPr>
          <t xml:space="preserve"> 3% </t>
        </r>
        <r>
          <rPr>
            <sz val="9"/>
            <color indexed="81"/>
            <rFont val="돋움"/>
            <family val="3"/>
            <charset val="129"/>
          </rPr>
          <t>인상분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반영
</t>
        </r>
      </text>
    </comment>
  </commentList>
</comments>
</file>

<file path=xl/sharedStrings.xml><?xml version="1.0" encoding="utf-8"?>
<sst xmlns="http://schemas.openxmlformats.org/spreadsheetml/2006/main" count="196" uniqueCount="172">
  <si>
    <t>비고</t>
    <phoneticPr fontId="2" type="noConversion"/>
  </si>
  <si>
    <t>관리운영비</t>
    <phoneticPr fontId="2" type="noConversion"/>
  </si>
  <si>
    <t>연구비</t>
    <phoneticPr fontId="2" type="noConversion"/>
  </si>
  <si>
    <t>운영비</t>
    <phoneticPr fontId="2" type="noConversion"/>
  </si>
  <si>
    <t>시설관리비</t>
    <phoneticPr fontId="2" type="noConversion"/>
  </si>
  <si>
    <t>일반관리비</t>
    <phoneticPr fontId="2" type="noConversion"/>
  </si>
  <si>
    <t>구분</t>
    <phoneticPr fontId="2" type="noConversion"/>
  </si>
  <si>
    <t>교내장학금 학부</t>
    <phoneticPr fontId="2" type="noConversion"/>
  </si>
  <si>
    <t>교내장학금 대학원</t>
    <phoneticPr fontId="2" type="noConversion"/>
  </si>
  <si>
    <t>대학원(입학금+수업료)</t>
    <phoneticPr fontId="2" type="noConversion"/>
  </si>
  <si>
    <t>연구 학생경비</t>
    <phoneticPr fontId="2" type="noConversion"/>
  </si>
  <si>
    <t>고정자산매입</t>
    <phoneticPr fontId="2" type="noConversion"/>
  </si>
  <si>
    <t>기계기구매입</t>
    <phoneticPr fontId="2" type="noConversion"/>
  </si>
  <si>
    <t>학부 수업료</t>
    <phoneticPr fontId="2" type="noConversion"/>
  </si>
  <si>
    <t>경상
수입</t>
    <phoneticPr fontId="2" type="noConversion"/>
  </si>
  <si>
    <t>경상
지출</t>
    <phoneticPr fontId="2" type="noConversion"/>
  </si>
  <si>
    <t>24회계</t>
    <phoneticPr fontId="2" type="noConversion"/>
  </si>
  <si>
    <t>23회계</t>
    <phoneticPr fontId="2" type="noConversion"/>
  </si>
  <si>
    <t>22회계</t>
    <phoneticPr fontId="2" type="noConversion"/>
  </si>
  <si>
    <t>21회계</t>
    <phoneticPr fontId="2" type="noConversion"/>
  </si>
  <si>
    <t>(단위:억원)</t>
    <phoneticPr fontId="2" type="noConversion"/>
  </si>
  <si>
    <t>비임상교원</t>
    <phoneticPr fontId="2" type="noConversion"/>
  </si>
  <si>
    <t>직원</t>
    <phoneticPr fontId="2" type="noConversion"/>
  </si>
  <si>
    <t>조교</t>
    <phoneticPr fontId="2" type="noConversion"/>
  </si>
  <si>
    <t>퇴직금</t>
    <phoneticPr fontId="2" type="noConversion"/>
  </si>
  <si>
    <t>강사료</t>
    <phoneticPr fontId="2" type="noConversion"/>
  </si>
  <si>
    <t>항목</t>
    <phoneticPr fontId="2" type="noConversion"/>
  </si>
  <si>
    <t>비
경상
지출</t>
    <phoneticPr fontId="2" type="noConversion"/>
  </si>
  <si>
    <t>보수(비임상 교원, 직원)</t>
    <phoneticPr fontId="2" type="noConversion"/>
  </si>
  <si>
    <t>이자수입</t>
    <phoneticPr fontId="2" type="noConversion"/>
  </si>
  <si>
    <t>경상수입 계 B</t>
    <phoneticPr fontId="2" type="noConversion"/>
  </si>
  <si>
    <t>경상지출 계 C</t>
    <phoneticPr fontId="2" type="noConversion"/>
  </si>
  <si>
    <t>당기 과부족액 D=B-C</t>
    <phoneticPr fontId="2" type="noConversion"/>
  </si>
  <si>
    <t>전기 이월 A</t>
    <phoneticPr fontId="2" type="noConversion"/>
  </si>
  <si>
    <t>집기비품및도서매입</t>
    <phoneticPr fontId="2" type="noConversion"/>
  </si>
  <si>
    <t>산단전입금</t>
    <phoneticPr fontId="2" type="noConversion"/>
  </si>
  <si>
    <t>입시수수료</t>
    <phoneticPr fontId="2" type="noConversion"/>
  </si>
  <si>
    <t>기숙사수입</t>
    <phoneticPr fontId="2" type="noConversion"/>
  </si>
  <si>
    <t>국고보조금 수입_운영비</t>
    <phoneticPr fontId="2" type="noConversion"/>
  </si>
  <si>
    <t>기타지방자치단체등(운영비사용)</t>
    <phoneticPr fontId="2" type="noConversion"/>
  </si>
  <si>
    <t>실험실습비및논문심사료</t>
    <phoneticPr fontId="2" type="noConversion"/>
  </si>
  <si>
    <t>학생지원비및기타학생경비</t>
    <phoneticPr fontId="2" type="noConversion"/>
  </si>
  <si>
    <t>입시관리비</t>
    <phoneticPr fontId="2" type="noConversion"/>
  </si>
  <si>
    <t>목적수입</t>
    <phoneticPr fontId="2" type="noConversion"/>
  </si>
  <si>
    <t>국고보조금</t>
    <phoneticPr fontId="2" type="noConversion"/>
  </si>
  <si>
    <t>교육부 국가장학금</t>
    <phoneticPr fontId="2" type="noConversion"/>
  </si>
  <si>
    <t>협력병원근무자</t>
    <phoneticPr fontId="2" type="noConversion"/>
  </si>
  <si>
    <t>임상교원보수(계산서)</t>
    <phoneticPr fontId="2" type="noConversion"/>
  </si>
  <si>
    <t>법정부담전입금</t>
    <phoneticPr fontId="2" type="noConversion"/>
  </si>
  <si>
    <t>목적수입 계 B</t>
    <phoneticPr fontId="2" type="noConversion"/>
  </si>
  <si>
    <t>목적지출</t>
    <phoneticPr fontId="2" type="noConversion"/>
  </si>
  <si>
    <t>교외장학금</t>
    <phoneticPr fontId="2" type="noConversion"/>
  </si>
  <si>
    <t>협력병원근무자보수및경비</t>
    <phoneticPr fontId="2" type="noConversion"/>
  </si>
  <si>
    <t>기타보수및복리후생비(기부재원)</t>
    <phoneticPr fontId="2" type="noConversion"/>
  </si>
  <si>
    <t>법정부담금</t>
    <phoneticPr fontId="2" type="noConversion"/>
  </si>
  <si>
    <t>법정부담금(교직원전체)</t>
    <phoneticPr fontId="2" type="noConversion"/>
  </si>
  <si>
    <t>목적지출 계 C</t>
    <phoneticPr fontId="2" type="noConversion"/>
  </si>
  <si>
    <t>차기 이월 E=A+D</t>
    <phoneticPr fontId="2" type="noConversion"/>
  </si>
  <si>
    <t>*당기 목적수입은 당기에 해당 목적에 사용됨</t>
    <phoneticPr fontId="2" type="noConversion"/>
  </si>
  <si>
    <t>*협력병원근무자에 대한 대가는 협력병원에수 수입되어  당기에 해당 목적에 사용됨</t>
    <phoneticPr fontId="2" type="noConversion"/>
  </si>
  <si>
    <t>*기부금수입의 사용은 매년5월, 국세청 보고 출연재산사용보고와는 다를 수 있음</t>
    <phoneticPr fontId="2" type="noConversion"/>
  </si>
  <si>
    <t>26예산</t>
    <phoneticPr fontId="2" type="noConversion"/>
  </si>
  <si>
    <t>27예산</t>
  </si>
  <si>
    <t>28예산</t>
  </si>
  <si>
    <t>특별목적기부</t>
    <phoneticPr fontId="2" type="noConversion"/>
  </si>
  <si>
    <t>주식취득</t>
    <phoneticPr fontId="2" type="noConversion"/>
  </si>
  <si>
    <t>특별목적기부금 사용</t>
    <phoneticPr fontId="2" type="noConversion"/>
  </si>
  <si>
    <r>
      <t xml:space="preserve">   (1)임상교원 보수 : 계산서 청구</t>
    </r>
    <r>
      <rPr>
        <sz val="12"/>
        <color theme="1"/>
        <rFont val="맑은 고딕"/>
        <family val="3"/>
        <charset val="129"/>
      </rPr>
      <t>→</t>
    </r>
    <r>
      <rPr>
        <sz val="12"/>
        <color theme="1"/>
        <rFont val="맑은 고딕"/>
        <family val="3"/>
        <charset val="129"/>
        <scheme val="minor"/>
      </rPr>
      <t>잡수입  (2)기타보수및복리후생비 : 기부금으로 수입</t>
    </r>
    <phoneticPr fontId="2" type="noConversion"/>
  </si>
  <si>
    <t>단기수강료</t>
    <phoneticPr fontId="2" type="noConversion"/>
  </si>
  <si>
    <t>등록금 수입</t>
    <phoneticPr fontId="2" type="noConversion"/>
  </si>
  <si>
    <t>기타 수입</t>
    <phoneticPr fontId="2" type="noConversion"/>
  </si>
  <si>
    <t>과학관증축 등</t>
    <phoneticPr fontId="2" type="noConversion"/>
  </si>
  <si>
    <t>토지매입(이새공장)</t>
    <phoneticPr fontId="2" type="noConversion"/>
  </si>
  <si>
    <t>의학관건축</t>
    <phoneticPr fontId="2" type="noConversion"/>
  </si>
  <si>
    <t>차입금이자(의학관융자300억)</t>
    <phoneticPr fontId="2" type="noConversion"/>
  </si>
  <si>
    <t>미래관증축</t>
    <phoneticPr fontId="2" type="noConversion"/>
  </si>
  <si>
    <t>*등록금등 수입으로 비임상교원에 대한 보수를 100% 지급 및 경상비 사용 가능 *의료재단 지원 불필요</t>
    <phoneticPr fontId="2" type="noConversion"/>
  </si>
  <si>
    <t>*단, 국고고보조금 일부(교외장학금외)가 대학운영에 기여하고 있음?</t>
    <phoneticPr fontId="2" type="noConversion"/>
  </si>
  <si>
    <r>
      <rPr>
        <b/>
        <sz val="16"/>
        <color theme="1"/>
        <rFont val="맑은 고딕"/>
        <family val="3"/>
        <charset val="129"/>
      </rPr>
      <t>2. 대학 목적자금</t>
    </r>
    <r>
      <rPr>
        <b/>
        <sz val="16"/>
        <color theme="1"/>
        <rFont val="맑은 고딕"/>
        <family val="3"/>
        <charset val="129"/>
        <scheme val="minor"/>
      </rPr>
      <t xml:space="preserve"> 수지(이사회 양식) 26.3.6.안</t>
    </r>
    <phoneticPr fontId="2" type="noConversion"/>
  </si>
  <si>
    <t>&lt;전기이월자금 및 차기이월자금&gt;</t>
    <phoneticPr fontId="2" type="noConversion"/>
  </si>
  <si>
    <t xml:space="preserve"> *기금등 회계상 관리 무시하고, 자금으로만 분석</t>
    <phoneticPr fontId="2" type="noConversion"/>
  </si>
  <si>
    <t xml:space="preserve"> *법인협의자금 및 등록금선수금은 기본적으로 제외</t>
    <phoneticPr fontId="2" type="noConversion"/>
  </si>
  <si>
    <t xml:space="preserve"> *결과적으로 재무팀에서 관리하는 자금으로 설명이 가능하면 됨</t>
    <phoneticPr fontId="2" type="noConversion"/>
  </si>
  <si>
    <t>교외장학금(혁신,고교)</t>
    <phoneticPr fontId="2" type="noConversion"/>
  </si>
  <si>
    <t>교육부 혁신지원</t>
    <phoneticPr fontId="2" type="noConversion"/>
  </si>
  <si>
    <t>교육부 고교기여</t>
    <phoneticPr fontId="2" type="noConversion"/>
  </si>
  <si>
    <t>부속병원,법인전입금</t>
    <phoneticPr fontId="2" type="noConversion"/>
  </si>
  <si>
    <t>토지매입</t>
    <phoneticPr fontId="2" type="noConversion"/>
  </si>
  <si>
    <t>운영자금</t>
    <phoneticPr fontId="2" type="noConversion"/>
  </si>
  <si>
    <t>기부금</t>
    <phoneticPr fontId="2" type="noConversion"/>
  </si>
  <si>
    <t>잡수입</t>
    <phoneticPr fontId="2" type="noConversion"/>
  </si>
  <si>
    <t>기타지원금 및 지정기부금</t>
    <phoneticPr fontId="2" type="noConversion"/>
  </si>
  <si>
    <t>일반기부금(순수)</t>
    <phoneticPr fontId="2" type="noConversion"/>
  </si>
  <si>
    <t>당기부족액충당(전기이월자금) E</t>
    <phoneticPr fontId="2" type="noConversion"/>
  </si>
  <si>
    <t>CBC 수선금</t>
    <phoneticPr fontId="2" type="noConversion"/>
  </si>
  <si>
    <r>
      <rPr>
        <b/>
        <sz val="20"/>
        <color theme="1"/>
        <rFont val="맑은 고딕"/>
        <family val="3"/>
        <charset val="129"/>
      </rPr>
      <t>1.</t>
    </r>
    <r>
      <rPr>
        <b/>
        <sz val="20"/>
        <color theme="1"/>
        <rFont val="맑은 고딕"/>
        <family val="3"/>
        <charset val="129"/>
        <scheme val="minor"/>
      </rPr>
      <t xml:space="preserve"> 대학 등록금 등 자금 수지</t>
    </r>
    <phoneticPr fontId="2" type="noConversion"/>
  </si>
  <si>
    <t>차기 이월 G=A+D-E</t>
    <phoneticPr fontId="2" type="noConversion"/>
  </si>
  <si>
    <t>대여료,사용료,기타</t>
    <phoneticPr fontId="2" type="noConversion"/>
  </si>
  <si>
    <t>25회계</t>
    <phoneticPr fontId="2" type="noConversion"/>
  </si>
  <si>
    <t>기타보수,복리,연구비(기부금)</t>
    <phoneticPr fontId="2" type="noConversion"/>
  </si>
  <si>
    <t>임차보증금지출</t>
    <phoneticPr fontId="2" type="noConversion"/>
  </si>
  <si>
    <t>비경상지출 계 F</t>
    <phoneticPr fontId="2" type="noConversion"/>
  </si>
  <si>
    <t>RISE 사업 등 추가해야 하는지?</t>
    <phoneticPr fontId="2" type="noConversion"/>
  </si>
  <si>
    <t>결산회계보다 비용 높음, 어떤 부분을 제외해야 현실적인지?</t>
    <phoneticPr fontId="2" type="noConversion"/>
  </si>
  <si>
    <t>기초교원중 의료재단 소속 인건비, 연수교원 인건비는 어느 항목에서 확인</t>
    <phoneticPr fontId="2" type="noConversion"/>
  </si>
  <si>
    <t>연간 증가 산식 확인(학부, 외국인 분리, 외국인 분리 이유는 외국인은 학생 총원증가분도 반영하기 위함)</t>
    <phoneticPr fontId="2" type="noConversion"/>
  </si>
  <si>
    <t>발생 및 증가 사유: 챔프, 어학연수생 금액</t>
    <phoneticPr fontId="2" type="noConversion"/>
  </si>
  <si>
    <t xml:space="preserve">4월 20일 기준 13억 4천으로 감액,대학재정지원으로 들어오는 4억 3천2백만원 중 1억정도를 대응자금으로 활용하고 3억 정도 기채 상환에 활용 </t>
    <phoneticPr fontId="2" type="noConversion"/>
  </si>
  <si>
    <t>연간 증가 산식 확인, 입학금을 제외한 금액에 2.1%인상 반영 후 입학금 예상범위 추가</t>
    <phoneticPr fontId="2" type="noConversion"/>
  </si>
  <si>
    <t>예산서에 없고, 학사시스템에서 확인, 이부분은 대여료 예산에서 제외</t>
    <phoneticPr fontId="2" type="noConversion"/>
  </si>
  <si>
    <t>직원급여, 상여금, 수당 포함, 법정부담금, 퇴직금 제외</t>
    <phoneticPr fontId="2" type="noConversion"/>
  </si>
  <si>
    <t xml:space="preserve">교원급여, 교원상여금, 교원제수당 포함 - </t>
    <phoneticPr fontId="2" type="noConversion"/>
  </si>
  <si>
    <t>교원, 직원, 등록금/비등록금 합산</t>
    <phoneticPr fontId="2" type="noConversion"/>
  </si>
  <si>
    <r>
      <t>본예산 합산값, 예산집행현황 참고함, 비용이 이전 결산대비 차이,</t>
    </r>
    <r>
      <rPr>
        <sz val="12"/>
        <color rgb="FFFF0000"/>
        <rFont val="맑은 고딕"/>
        <family val="3"/>
        <charset val="129"/>
        <scheme val="minor"/>
      </rPr>
      <t xml:space="preserve"> 증가사유</t>
    </r>
    <phoneticPr fontId="2" type="noConversion"/>
  </si>
  <si>
    <r>
      <t xml:space="preserve">물가상승율 3%반영, 28년은 의학관건축으로 인한 관리비 1억 추가 증가 예측, 28.8에 </t>
    </r>
    <r>
      <rPr>
        <sz val="12"/>
        <color rgb="FFFF0000"/>
        <rFont val="맑은 고딕"/>
        <family val="3"/>
        <charset val="129"/>
        <scheme val="minor"/>
      </rPr>
      <t>12억(비등록금) 추가 확인</t>
    </r>
    <phoneticPr fontId="2" type="noConversion"/>
  </si>
  <si>
    <t>임상교원의 복리후생비는 제외(복리후생비는, 전입금이라??-비용 4억은 어떻게 산정?)27, 28년 예산에 비등록금 22억 추가(26년 예산의 비등록금 예산)</t>
    <phoneticPr fontId="2" type="noConversion"/>
  </si>
  <si>
    <t>28 의학관설립관련 예산 투입 증가 + 3억 도서비(33억??)</t>
    <phoneticPr fontId="2" type="noConversion"/>
  </si>
  <si>
    <t>물가상승율 3%반영, 28년은 의학관건축으로 인한 관리비 1.5억 추가 증가 예측, 24.7에 6억(비등록금) 추가 확인</t>
    <phoneticPr fontId="2" type="noConversion"/>
  </si>
  <si>
    <t>시스템 예산집행현황에서, 개인일반기부금만 포함(발전기금만 포함) 일반기부금 예산총액에서 어떤 금액을 제외?</t>
    <phoneticPr fontId="2" type="noConversion"/>
  </si>
  <si>
    <t>26년 예산이 높은 이유</t>
    <phoneticPr fontId="2" type="noConversion"/>
  </si>
  <si>
    <t>25년 약간 감소 이유</t>
    <phoneticPr fontId="2" type="noConversion"/>
  </si>
  <si>
    <t>임의건축, 임의특수목적기금, 빼는 이유??- 해당 자금은 해당 목적으로만 사용하므로, , 이자수입: 13.6-12.5
26~28년 300억 기채 이자 포함(26년 2억, 27년 5.8억, 28년 1.8억), 등록금 예치 이자 수입</t>
    <phoneticPr fontId="2" type="noConversion"/>
  </si>
  <si>
    <t>4억 임상교원 자녀학자금(내부거래표)</t>
    <phoneticPr fontId="2" type="noConversion"/>
  </si>
  <si>
    <t>예산서 보고 재적용, 26예산 상승 이유: 연구처 지표 달성 위함</t>
    <phoneticPr fontId="2" type="noConversion"/>
  </si>
  <si>
    <t>등록금, 비등록금 이월금 합계</t>
    <phoneticPr fontId="2" type="noConversion"/>
  </si>
  <si>
    <t>결산 주요설명</t>
    <phoneticPr fontId="2" type="noConversion"/>
  </si>
  <si>
    <t>예산 주요설명</t>
    <phoneticPr fontId="2" type="noConversion"/>
  </si>
  <si>
    <t>27, 28년 수업료 2.1%인상 반영</t>
    <phoneticPr fontId="2" type="noConversion"/>
  </si>
  <si>
    <t>결, 예산서의 대학원의 입학금 및 수업료</t>
    <phoneticPr fontId="2" type="noConversion"/>
  </si>
  <si>
    <t>확인, 단기수강료에 외국인 수업료 반영해서 올려야 하지 않는지?</t>
    <phoneticPr fontId="2" type="noConversion"/>
  </si>
  <si>
    <t>결, 예산서의 산단전입금</t>
    <phoneticPr fontId="2" type="noConversion"/>
  </si>
  <si>
    <t>학사시스템의 수입내역, 예산보고서 생활관수입</t>
    <phoneticPr fontId="2" type="noConversion"/>
  </si>
  <si>
    <t>결, 예산서 총액은 23억 수준, 기숙사 수입이 녹여있으므로 차액 표시</t>
    <phoneticPr fontId="2" type="noConversion"/>
  </si>
  <si>
    <t>글로벌 K-CELL 사업종료로 감액</t>
    <phoneticPr fontId="2" type="noConversion"/>
  </si>
  <si>
    <t>글로벌교육원 기숙사 운영으로 수입 증가</t>
    <phoneticPr fontId="2" type="noConversion"/>
  </si>
  <si>
    <t>결, 예산서의 전체 잡숭입 중 임상교원급여제외</t>
    <phoneticPr fontId="2" type="noConversion"/>
  </si>
  <si>
    <t>결, 예산서의 입시수수료</t>
    <phoneticPr fontId="2" type="noConversion"/>
  </si>
  <si>
    <t>결, 예산서의 전입금수입</t>
    <phoneticPr fontId="2" type="noConversion"/>
  </si>
  <si>
    <t>전체 이자수입에서, 임의건축기금, 임의특정목적기금 제외</t>
    <phoneticPr fontId="2" type="noConversion"/>
  </si>
  <si>
    <t>예산보고서식의 일반기부금만 포함</t>
    <phoneticPr fontId="2" type="noConversion"/>
  </si>
  <si>
    <t>27, 28 발전기금 목표 5억</t>
    <phoneticPr fontId="2" type="noConversion"/>
  </si>
  <si>
    <t>28, 28년 기채 기금의 이자수익을 예상하여 포함함</t>
    <phoneticPr fontId="2" type="noConversion"/>
  </si>
  <si>
    <t>27, 28년 감소될 가능성 높음</t>
    <phoneticPr fontId="2" type="noConversion"/>
  </si>
  <si>
    <t>비임상교원 = 전체 교원인건비-임상교원인건비- 기초교수 중 의료재단 소속 인건비-해외연수교원 인건비</t>
    <phoneticPr fontId="2" type="noConversion"/>
  </si>
  <si>
    <t>학사시스템의 25년 지급 기준으로 추산</t>
    <phoneticPr fontId="2" type="noConversion"/>
  </si>
  <si>
    <t>직원급여, 상여금, 수당 포함, 법정부담금, 퇴직금 제외</t>
    <phoneticPr fontId="2" type="noConversion"/>
  </si>
  <si>
    <t>급여인상분이 미미하여 유지</t>
    <phoneticPr fontId="2" type="noConversion"/>
  </si>
  <si>
    <t>결, 예산서 조교인건비</t>
    <phoneticPr fontId="2" type="noConversion"/>
  </si>
  <si>
    <t>결, 예산서의 교원인건비, 직원인건비</t>
    <phoneticPr fontId="2" type="noConversion"/>
  </si>
  <si>
    <t>결, 예산서의 시간강의료, 특별강의료</t>
    <phoneticPr fontId="2" type="noConversion"/>
  </si>
  <si>
    <t>인상사유 확인</t>
    <phoneticPr fontId="2" type="noConversion"/>
  </si>
  <si>
    <t>물가상승 3%반영, 28년은 건축완료로 1억 증액 추산</t>
    <phoneticPr fontId="2" type="noConversion"/>
  </si>
  <si>
    <t>물가상승 3%반영, 28년은 건축완료로 1.5억 증액 추산</t>
    <phoneticPr fontId="2" type="noConversion"/>
  </si>
  <si>
    <t>결, 예산서의 시설관리비</t>
    <phoneticPr fontId="2" type="noConversion"/>
  </si>
  <si>
    <t>결, 예산서의 운영비(복리, 교육훈련, 용역 등)</t>
    <phoneticPr fontId="2" type="noConversion"/>
  </si>
  <si>
    <t>결, 예산서의 일반관리비(차량유지, 소모품, 인쇄 등)</t>
    <phoneticPr fontId="2" type="noConversion"/>
  </si>
  <si>
    <t>물가대로 인상반영하지 않음</t>
    <phoneticPr fontId="2" type="noConversion"/>
  </si>
  <si>
    <t>24, 25 운영비 증가 요인</t>
    <phoneticPr fontId="2" type="noConversion"/>
  </si>
  <si>
    <t>결, 예산서의 연구비</t>
    <phoneticPr fontId="2" type="noConversion"/>
  </si>
  <si>
    <t>결, 예산서의 교내장학금, 예산보고서 보고 대학원/학부 분리</t>
    <phoneticPr fontId="2" type="noConversion"/>
  </si>
  <si>
    <t>혁신 장학금만 있음</t>
    <phoneticPr fontId="2" type="noConversion"/>
  </si>
  <si>
    <t>결, 예산서의 실험실습, 논문심사료</t>
    <phoneticPr fontId="2" type="noConversion"/>
  </si>
  <si>
    <t>결, 예산서의 학생지원비, 기타학생경비</t>
    <phoneticPr fontId="2" type="noConversion"/>
  </si>
  <si>
    <t>26년 인상 사유 확인</t>
    <phoneticPr fontId="2" type="noConversion"/>
  </si>
  <si>
    <t>27, 28급여 2.5%인상으로 추산</t>
    <phoneticPr fontId="2" type="noConversion"/>
  </si>
  <si>
    <t>연구처 지표달성(대학평가지표 2개년 실적 반영) 위해 증액</t>
    <phoneticPr fontId="2" type="noConversion"/>
  </si>
  <si>
    <t>결, 예산서의 단기수강료(챔프 어학당 금액)</t>
    <phoneticPr fontId="2" type="noConversion"/>
  </si>
  <si>
    <t>결, 예산서의 학부 수업료, 글로벌교육원 외국인학생 수업료</t>
    <phoneticPr fontId="2" type="noConversion"/>
  </si>
  <si>
    <t>장학금 지급율을 19.55%-&gt; 27이후 15% 감축, 28 학생수 증가</t>
    <phoneticPr fontId="2" type="noConversion"/>
  </si>
  <si>
    <t>장학금 지급율을 19.55%-&gt;15% 감축, 28 학생수 증가</t>
    <phoneticPr fontId="2" type="noConversion"/>
  </si>
  <si>
    <t xml:space="preserve">28년 고정자산매입비 증가는 의학관 설립 후 집기비품구매비용을 </t>
    <phoneticPr fontId="2" type="noConversion"/>
  </si>
  <si>
    <t xml:space="preserve">요점: 학교 자금을, 이사님들이 이해하시기 쉽도록, 내부적으로 받았다가 바로 사용하는 목적자금은 제외, 교비 위주로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</si>
</sst>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 ;[Red]\-#,##0\ 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indexed="81"/>
      <name val="Tahoma"/>
      <family val="2"/>
    </font>
    <font>
      <sz val="12"/>
      <color indexed="81"/>
      <name val="돋움"/>
      <family val="3"/>
      <charset val="129"/>
    </font>
    <font>
      <b/>
      <sz val="15"/>
      <color theme="1"/>
      <name val="맑은 고딕"/>
      <family val="3"/>
      <charset val="129"/>
      <scheme val="minor"/>
    </font>
    <font>
      <sz val="15"/>
      <color theme="1"/>
      <name val="맑은 고딕"/>
      <family val="3"/>
      <charset val="129"/>
      <scheme val="minor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2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</font>
    <font>
      <sz val="1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</font>
    <font>
      <sz val="9"/>
      <color indexed="81"/>
      <name val="돋움"/>
      <family val="3"/>
      <charset val="129"/>
    </font>
    <font>
      <b/>
      <sz val="20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</font>
    <font>
      <b/>
      <sz val="12"/>
      <color theme="4"/>
      <name val="맑은 고딕"/>
      <family val="3"/>
      <charset val="129"/>
      <scheme val="minor"/>
    </font>
    <font>
      <b/>
      <sz val="12"/>
      <color rgb="FF0070C0"/>
      <name val="맑은 고딕"/>
      <family val="3"/>
      <charset val="129"/>
      <scheme val="minor"/>
    </font>
    <font>
      <sz val="12"/>
      <color rgb="FF0070C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09">
    <xf numFmtId="0" fontId="0" fillId="0" borderId="0" xfId="0">
      <alignment vertical="center"/>
    </xf>
    <xf numFmtId="176" fontId="4" fillId="0" borderId="0" xfId="0" applyNumberFormat="1" applyFont="1">
      <alignment vertical="center"/>
    </xf>
    <xf numFmtId="176" fontId="4" fillId="0" borderId="0" xfId="0" applyNumberFormat="1" applyFont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 shrinkToFit="1"/>
    </xf>
    <xf numFmtId="176" fontId="4" fillId="2" borderId="9" xfId="0" applyNumberFormat="1" applyFont="1" applyFill="1" applyBorder="1" applyAlignment="1">
      <alignment horizontal="center" vertical="center" shrinkToFit="1"/>
    </xf>
    <xf numFmtId="176" fontId="4" fillId="2" borderId="10" xfId="0" applyNumberFormat="1" applyFont="1" applyFill="1" applyBorder="1" applyAlignment="1">
      <alignment horizontal="center" vertical="center" shrinkToFit="1"/>
    </xf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9" xfId="0" applyNumberFormat="1" applyFont="1" applyFill="1" applyBorder="1" applyAlignment="1">
      <alignment horizontal="center" vertical="center"/>
    </xf>
    <xf numFmtId="176" fontId="3" fillId="0" borderId="0" xfId="0" applyNumberFormat="1" applyFont="1">
      <alignment vertical="center"/>
    </xf>
    <xf numFmtId="176" fontId="3" fillId="2" borderId="0" xfId="0" applyNumberFormat="1" applyFont="1" applyFill="1">
      <alignment vertical="center"/>
    </xf>
    <xf numFmtId="176" fontId="8" fillId="0" borderId="0" xfId="0" applyNumberFormat="1" applyFont="1">
      <alignment vertical="center"/>
    </xf>
    <xf numFmtId="176" fontId="4" fillId="0" borderId="0" xfId="0" applyNumberFormat="1" applyFont="1" applyAlignment="1">
      <alignment vertical="center" shrinkToFit="1"/>
    </xf>
    <xf numFmtId="176" fontId="7" fillId="2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vertical="center" shrinkToFit="1"/>
    </xf>
    <xf numFmtId="176" fontId="3" fillId="3" borderId="3" xfId="1" applyNumberFormat="1" applyFont="1" applyFill="1" applyBorder="1" applyAlignment="1">
      <alignment horizontal="center" vertical="center" shrinkToFit="1"/>
    </xf>
    <xf numFmtId="176" fontId="4" fillId="2" borderId="7" xfId="1" applyNumberFormat="1" applyFont="1" applyFill="1" applyBorder="1" applyAlignment="1">
      <alignment vertical="center" shrinkToFit="1"/>
    </xf>
    <xf numFmtId="176" fontId="4" fillId="4" borderId="3" xfId="1" applyNumberFormat="1" applyFont="1" applyFill="1" applyBorder="1" applyAlignment="1">
      <alignment vertical="center" shrinkToFit="1"/>
    </xf>
    <xf numFmtId="176" fontId="4" fillId="2" borderId="6" xfId="1" applyNumberFormat="1" applyFont="1" applyFill="1" applyBorder="1" applyAlignment="1">
      <alignment vertical="center" shrinkToFit="1"/>
    </xf>
    <xf numFmtId="176" fontId="4" fillId="2" borderId="11" xfId="1" applyNumberFormat="1" applyFont="1" applyFill="1" applyBorder="1" applyAlignment="1">
      <alignment vertical="center" shrinkToFit="1"/>
    </xf>
    <xf numFmtId="176" fontId="3" fillId="2" borderId="0" xfId="1" applyNumberFormat="1" applyFont="1" applyFill="1" applyBorder="1" applyAlignment="1">
      <alignment vertical="center" shrinkToFit="1"/>
    </xf>
    <xf numFmtId="176" fontId="4" fillId="2" borderId="0" xfId="1" applyNumberFormat="1" applyFont="1" applyFill="1" applyBorder="1" applyAlignment="1">
      <alignment vertical="center" shrinkToFit="1"/>
    </xf>
    <xf numFmtId="176" fontId="3" fillId="2" borderId="14" xfId="1" applyNumberFormat="1" applyFont="1" applyFill="1" applyBorder="1" applyAlignment="1">
      <alignment vertical="center" shrinkToFit="1"/>
    </xf>
    <xf numFmtId="176" fontId="3" fillId="4" borderId="12" xfId="1" applyNumberFormat="1" applyFont="1" applyFill="1" applyBorder="1" applyAlignment="1">
      <alignment vertical="center" shrinkToFit="1"/>
    </xf>
    <xf numFmtId="176" fontId="4" fillId="2" borderId="16" xfId="0" applyNumberFormat="1" applyFont="1" applyFill="1" applyBorder="1" applyAlignment="1">
      <alignment horizontal="center" vertical="center" shrinkToFit="1"/>
    </xf>
    <xf numFmtId="176" fontId="3" fillId="2" borderId="17" xfId="1" applyNumberFormat="1" applyFont="1" applyFill="1" applyBorder="1" applyAlignment="1">
      <alignment vertical="center" shrinkToFit="1"/>
    </xf>
    <xf numFmtId="176" fontId="3" fillId="3" borderId="12" xfId="1" applyNumberFormat="1" applyFont="1" applyFill="1" applyBorder="1" applyAlignment="1">
      <alignment horizontal="center" vertical="center" shrinkToFit="1"/>
    </xf>
    <xf numFmtId="176" fontId="3" fillId="2" borderId="13" xfId="1" applyNumberFormat="1" applyFont="1" applyFill="1" applyBorder="1" applyAlignment="1">
      <alignment vertical="center" shrinkToFit="1"/>
    </xf>
    <xf numFmtId="176" fontId="3" fillId="2" borderId="15" xfId="1" applyNumberFormat="1" applyFont="1" applyFill="1" applyBorder="1" applyAlignment="1">
      <alignment vertical="center" shrinkToFit="1"/>
    </xf>
    <xf numFmtId="176" fontId="4" fillId="2" borderId="0" xfId="0" applyNumberFormat="1" applyFont="1" applyFill="1">
      <alignment vertical="center"/>
    </xf>
    <xf numFmtId="176" fontId="17" fillId="2" borderId="16" xfId="0" applyNumberFormat="1" applyFont="1" applyFill="1" applyBorder="1" applyAlignment="1">
      <alignment horizontal="center" vertical="center" shrinkToFit="1"/>
    </xf>
    <xf numFmtId="176" fontId="17" fillId="2" borderId="8" xfId="0" applyNumberFormat="1" applyFont="1" applyFill="1" applyBorder="1" applyAlignment="1">
      <alignment horizontal="center" vertical="center" shrinkToFit="1"/>
    </xf>
    <xf numFmtId="176" fontId="20" fillId="0" borderId="0" xfId="0" applyNumberFormat="1" applyFont="1">
      <alignment vertical="center"/>
    </xf>
    <xf numFmtId="49" fontId="4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 wrapText="1"/>
    </xf>
    <xf numFmtId="176" fontId="3" fillId="3" borderId="4" xfId="0" applyNumberFormat="1" applyFont="1" applyFill="1" applyBorder="1" applyAlignment="1">
      <alignment horizontal="center" vertical="center"/>
    </xf>
    <xf numFmtId="176" fontId="3" fillId="0" borderId="37" xfId="0" applyNumberFormat="1" applyFont="1" applyBorder="1" applyAlignment="1">
      <alignment horizontal="center" vertical="center" wrapText="1"/>
    </xf>
    <xf numFmtId="176" fontId="3" fillId="5" borderId="12" xfId="1" applyNumberFormat="1" applyFont="1" applyFill="1" applyBorder="1" applyAlignment="1">
      <alignment vertical="center" shrinkToFit="1"/>
    </xf>
    <xf numFmtId="176" fontId="3" fillId="6" borderId="27" xfId="1" applyNumberFormat="1" applyFont="1" applyFill="1" applyBorder="1" applyAlignment="1">
      <alignment vertical="center" shrinkToFit="1"/>
    </xf>
    <xf numFmtId="176" fontId="4" fillId="6" borderId="32" xfId="1" applyNumberFormat="1" applyFont="1" applyFill="1" applyBorder="1" applyAlignment="1">
      <alignment horizontal="center" vertical="center" shrinkToFit="1"/>
    </xf>
    <xf numFmtId="176" fontId="3" fillId="5" borderId="33" xfId="1" applyNumberFormat="1" applyFont="1" applyFill="1" applyBorder="1" applyAlignment="1">
      <alignment vertical="center" shrinkToFit="1"/>
    </xf>
    <xf numFmtId="176" fontId="4" fillId="5" borderId="32" xfId="1" applyNumberFormat="1" applyFont="1" applyFill="1" applyBorder="1" applyAlignment="1">
      <alignment vertical="center" shrinkToFit="1"/>
    </xf>
    <xf numFmtId="176" fontId="3" fillId="2" borderId="23" xfId="0" applyNumberFormat="1" applyFont="1" applyFill="1" applyBorder="1" applyAlignment="1">
      <alignment horizontal="center" vertical="center" wrapText="1"/>
    </xf>
    <xf numFmtId="176" fontId="21" fillId="0" borderId="0" xfId="0" applyNumberFormat="1" applyFont="1">
      <alignment vertical="center"/>
    </xf>
    <xf numFmtId="176" fontId="21" fillId="2" borderId="0" xfId="0" applyNumberFormat="1" applyFont="1" applyFill="1">
      <alignment vertical="center"/>
    </xf>
    <xf numFmtId="176" fontId="3" fillId="3" borderId="39" xfId="1" applyNumberFormat="1" applyFont="1" applyFill="1" applyBorder="1" applyAlignment="1">
      <alignment horizontal="center" vertical="center" shrinkToFit="1"/>
    </xf>
    <xf numFmtId="176" fontId="3" fillId="3" borderId="4" xfId="1" applyNumberFormat="1" applyFont="1" applyFill="1" applyBorder="1" applyAlignment="1">
      <alignment horizontal="center" vertical="center" shrinkToFit="1"/>
    </xf>
    <xf numFmtId="176" fontId="3" fillId="0" borderId="40" xfId="0" applyNumberFormat="1" applyFont="1" applyBorder="1" applyAlignment="1">
      <alignment horizontal="center" vertical="center" wrapText="1"/>
    </xf>
    <xf numFmtId="176" fontId="3" fillId="7" borderId="33" xfId="1" applyNumberFormat="1" applyFont="1" applyFill="1" applyBorder="1" applyAlignment="1">
      <alignment vertical="center" shrinkToFit="1"/>
    </xf>
    <xf numFmtId="176" fontId="4" fillId="7" borderId="32" xfId="1" applyNumberFormat="1" applyFont="1" applyFill="1" applyBorder="1" applyAlignment="1">
      <alignment horizontal="center" vertical="center" shrinkToFit="1"/>
    </xf>
    <xf numFmtId="176" fontId="3" fillId="6" borderId="33" xfId="1" applyNumberFormat="1" applyFont="1" applyFill="1" applyBorder="1" applyAlignment="1">
      <alignment vertical="center" shrinkToFit="1"/>
    </xf>
    <xf numFmtId="176" fontId="4" fillId="6" borderId="32" xfId="1" applyNumberFormat="1" applyFont="1" applyFill="1" applyBorder="1" applyAlignment="1">
      <alignment vertical="center" shrinkToFit="1"/>
    </xf>
    <xf numFmtId="176" fontId="3" fillId="4" borderId="33" xfId="1" applyNumberFormat="1" applyFont="1" applyFill="1" applyBorder="1" applyAlignment="1">
      <alignment vertical="center" shrinkToFit="1"/>
    </xf>
    <xf numFmtId="176" fontId="4" fillId="4" borderId="32" xfId="1" applyNumberFormat="1" applyFont="1" applyFill="1" applyBorder="1" applyAlignment="1">
      <alignment vertical="center" shrinkToFit="1"/>
    </xf>
    <xf numFmtId="176" fontId="3" fillId="2" borderId="43" xfId="1" applyNumberFormat="1" applyFont="1" applyFill="1" applyBorder="1" applyAlignment="1">
      <alignment vertical="center" shrinkToFit="1"/>
    </xf>
    <xf numFmtId="176" fontId="4" fillId="2" borderId="44" xfId="1" applyNumberFormat="1" applyFont="1" applyFill="1" applyBorder="1" applyAlignment="1">
      <alignment vertical="center" shrinkToFit="1"/>
    </xf>
    <xf numFmtId="176" fontId="4" fillId="2" borderId="42" xfId="0" applyNumberFormat="1" applyFont="1" applyFill="1" applyBorder="1" applyAlignment="1">
      <alignment horizontal="center" vertical="center"/>
    </xf>
    <xf numFmtId="176" fontId="4" fillId="2" borderId="42" xfId="0" applyNumberFormat="1" applyFont="1" applyFill="1" applyBorder="1" applyAlignment="1">
      <alignment horizontal="center" vertical="center" shrinkToFit="1"/>
    </xf>
    <xf numFmtId="176" fontId="3" fillId="2" borderId="0" xfId="0" applyNumberFormat="1" applyFont="1" applyFill="1" applyAlignment="1">
      <alignment horizontal="center" vertical="center" shrinkToFit="1"/>
    </xf>
    <xf numFmtId="176" fontId="3" fillId="0" borderId="47" xfId="0" applyNumberFormat="1" applyFont="1" applyBorder="1" applyAlignment="1">
      <alignment horizontal="center" vertical="center" wrapText="1"/>
    </xf>
    <xf numFmtId="176" fontId="3" fillId="0" borderId="30" xfId="0" applyNumberFormat="1" applyFont="1" applyBorder="1" applyAlignment="1">
      <alignment horizontal="center" vertical="center" wrapText="1"/>
    </xf>
    <xf numFmtId="176" fontId="3" fillId="0" borderId="45" xfId="0" applyNumberFormat="1" applyFont="1" applyBorder="1" applyAlignment="1">
      <alignment horizontal="center" vertical="center" wrapText="1"/>
    </xf>
    <xf numFmtId="176" fontId="3" fillId="8" borderId="43" xfId="1" applyNumberFormat="1" applyFont="1" applyFill="1" applyBorder="1" applyAlignment="1">
      <alignment vertical="center" shrinkToFit="1"/>
    </xf>
    <xf numFmtId="176" fontId="3" fillId="2" borderId="0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176" fontId="20" fillId="0" borderId="0" xfId="0" applyNumberFormat="1" applyFont="1" applyAlignment="1">
      <alignment vertical="center"/>
    </xf>
    <xf numFmtId="176" fontId="8" fillId="0" borderId="0" xfId="0" applyNumberFormat="1" applyFont="1" applyAlignment="1">
      <alignment vertical="center"/>
    </xf>
    <xf numFmtId="176" fontId="4" fillId="0" borderId="0" xfId="0" applyNumberFormat="1" applyFont="1" applyAlignment="1">
      <alignment vertical="center"/>
    </xf>
    <xf numFmtId="176" fontId="3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176" fontId="11" fillId="2" borderId="0" xfId="0" applyNumberFormat="1" applyFont="1" applyFill="1" applyAlignment="1">
      <alignment vertical="center"/>
    </xf>
    <xf numFmtId="176" fontId="11" fillId="2" borderId="0" xfId="1" applyNumberFormat="1" applyFont="1" applyFill="1" applyBorder="1" applyAlignment="1">
      <alignment vertical="center"/>
    </xf>
    <xf numFmtId="176" fontId="4" fillId="2" borderId="49" xfId="0" applyNumberFormat="1" applyFont="1" applyFill="1" applyBorder="1" applyAlignment="1">
      <alignment horizontal="center" vertical="center" shrinkToFit="1"/>
    </xf>
    <xf numFmtId="176" fontId="4" fillId="2" borderId="18" xfId="0" applyNumberFormat="1" applyFont="1" applyFill="1" applyBorder="1" applyAlignment="1">
      <alignment horizontal="center" vertical="center" shrinkToFit="1"/>
    </xf>
    <xf numFmtId="176" fontId="4" fillId="2" borderId="2" xfId="0" applyNumberFormat="1" applyFont="1" applyFill="1" applyBorder="1" applyAlignment="1">
      <alignment horizontal="center" vertical="center" shrinkToFit="1"/>
    </xf>
    <xf numFmtId="176" fontId="3" fillId="0" borderId="14" xfId="1" applyNumberFormat="1" applyFont="1" applyFill="1" applyBorder="1" applyAlignment="1">
      <alignment vertical="center" shrinkToFit="1"/>
    </xf>
    <xf numFmtId="176" fontId="3" fillId="5" borderId="3" xfId="1" applyNumberFormat="1" applyFont="1" applyFill="1" applyBorder="1" applyAlignment="1">
      <alignment vertical="center" shrinkToFit="1"/>
    </xf>
    <xf numFmtId="176" fontId="3" fillId="0" borderId="0" xfId="0" applyNumberFormat="1" applyFont="1" applyFill="1" applyBorder="1" applyAlignment="1">
      <alignment horizontal="center" vertical="center" wrapText="1"/>
    </xf>
    <xf numFmtId="176" fontId="18" fillId="0" borderId="0" xfId="0" applyNumberFormat="1" applyFont="1" applyFill="1" applyBorder="1" applyAlignment="1">
      <alignment horizontal="center" vertical="center" shrinkToFit="1"/>
    </xf>
    <xf numFmtId="176" fontId="3" fillId="0" borderId="41" xfId="1" applyNumberFormat="1" applyFont="1" applyBorder="1" applyAlignment="1">
      <alignment vertical="center" shrinkToFit="1"/>
    </xf>
    <xf numFmtId="176" fontId="4" fillId="0" borderId="41" xfId="1" applyNumberFormat="1" applyFont="1" applyBorder="1" applyAlignment="1">
      <alignment vertical="center" shrinkToFit="1"/>
    </xf>
    <xf numFmtId="176" fontId="4" fillId="0" borderId="0" xfId="0" applyNumberFormat="1" applyFont="1" applyBorder="1" applyAlignment="1">
      <alignment horizontal="center" vertical="center"/>
    </xf>
    <xf numFmtId="176" fontId="3" fillId="0" borderId="0" xfId="1" applyNumberFormat="1" applyFont="1" applyBorder="1" applyAlignment="1">
      <alignment vertical="center" shrinkToFit="1"/>
    </xf>
    <xf numFmtId="176" fontId="4" fillId="0" borderId="0" xfId="1" applyNumberFormat="1" applyFont="1" applyBorder="1" applyAlignment="1">
      <alignment vertical="center" shrinkToFit="1"/>
    </xf>
    <xf numFmtId="176" fontId="4" fillId="0" borderId="41" xfId="0" applyNumberFormat="1" applyFont="1" applyBorder="1" applyAlignment="1">
      <alignment horizontal="center" vertical="center"/>
    </xf>
    <xf numFmtId="176" fontId="4" fillId="2" borderId="55" xfId="1" applyNumberFormat="1" applyFont="1" applyFill="1" applyBorder="1" applyAlignment="1">
      <alignment vertical="center" shrinkToFit="1"/>
    </xf>
    <xf numFmtId="176" fontId="4" fillId="2" borderId="56" xfId="1" applyNumberFormat="1" applyFont="1" applyFill="1" applyBorder="1" applyAlignment="1">
      <alignment vertical="center" shrinkToFit="1"/>
    </xf>
    <xf numFmtId="176" fontId="18" fillId="0" borderId="45" xfId="0" applyNumberFormat="1" applyFont="1" applyFill="1" applyBorder="1" applyAlignment="1">
      <alignment horizontal="center" vertical="center" shrinkToFit="1"/>
    </xf>
    <xf numFmtId="176" fontId="18" fillId="0" borderId="50" xfId="0" applyNumberFormat="1" applyFont="1" applyFill="1" applyBorder="1" applyAlignment="1">
      <alignment horizontal="center" vertical="center" shrinkToFit="1"/>
    </xf>
    <xf numFmtId="176" fontId="18" fillId="0" borderId="41" xfId="0" applyNumberFormat="1" applyFont="1" applyFill="1" applyBorder="1" applyAlignment="1">
      <alignment horizontal="center" vertical="center" shrinkToFit="1"/>
    </xf>
    <xf numFmtId="176" fontId="3" fillId="0" borderId="3" xfId="1" applyNumberFormat="1" applyFont="1" applyFill="1" applyBorder="1" applyAlignment="1">
      <alignment vertical="center" shrinkToFit="1"/>
    </xf>
    <xf numFmtId="176" fontId="18" fillId="0" borderId="57" xfId="0" applyNumberFormat="1" applyFont="1" applyFill="1" applyBorder="1" applyAlignment="1">
      <alignment horizontal="center" vertical="center" shrinkToFit="1"/>
    </xf>
    <xf numFmtId="176" fontId="3" fillId="0" borderId="57" xfId="1" applyNumberFormat="1" applyFont="1" applyFill="1" applyBorder="1" applyAlignment="1">
      <alignment vertical="center" shrinkToFit="1"/>
    </xf>
    <xf numFmtId="176" fontId="4" fillId="0" borderId="58" xfId="1" applyNumberFormat="1" applyFont="1" applyFill="1" applyBorder="1" applyAlignment="1">
      <alignment horizontal="center" vertical="center" shrinkToFit="1"/>
    </xf>
    <xf numFmtId="176" fontId="18" fillId="0" borderId="51" xfId="0" applyNumberFormat="1" applyFont="1" applyFill="1" applyBorder="1" applyAlignment="1">
      <alignment horizontal="center" vertical="center" shrinkToFit="1"/>
    </xf>
    <xf numFmtId="176" fontId="3" fillId="0" borderId="51" xfId="1" applyNumberFormat="1" applyFont="1" applyFill="1" applyBorder="1" applyAlignment="1">
      <alignment vertical="center" shrinkToFit="1"/>
    </xf>
    <xf numFmtId="176" fontId="4" fillId="0" borderId="59" xfId="1" applyNumberFormat="1" applyFont="1" applyFill="1" applyBorder="1" applyAlignment="1">
      <alignment horizontal="center" vertical="center" shrinkToFit="1"/>
    </xf>
    <xf numFmtId="176" fontId="3" fillId="0" borderId="3" xfId="0" applyNumberFormat="1" applyFont="1" applyFill="1" applyBorder="1" applyAlignment="1">
      <alignment horizontal="center" vertical="center" wrapText="1"/>
    </xf>
    <xf numFmtId="176" fontId="4" fillId="0" borderId="3" xfId="1" applyNumberFormat="1" applyFont="1" applyFill="1" applyBorder="1" applyAlignment="1">
      <alignment vertical="center" shrinkToFit="1"/>
    </xf>
    <xf numFmtId="176" fontId="3" fillId="0" borderId="54" xfId="1" applyNumberFormat="1" applyFont="1" applyFill="1" applyBorder="1" applyAlignment="1">
      <alignment vertical="center" shrinkToFit="1"/>
    </xf>
    <xf numFmtId="176" fontId="3" fillId="0" borderId="12" xfId="1" applyNumberFormat="1" applyFont="1" applyFill="1" applyBorder="1" applyAlignment="1">
      <alignment vertical="center" shrinkToFit="1"/>
    </xf>
    <xf numFmtId="176" fontId="4" fillId="0" borderId="7" xfId="1" applyNumberFormat="1" applyFont="1" applyFill="1" applyBorder="1" applyAlignment="1">
      <alignment vertical="center" shrinkToFit="1"/>
    </xf>
    <xf numFmtId="176" fontId="3" fillId="0" borderId="43" xfId="1" applyNumberFormat="1" applyFont="1" applyFill="1" applyBorder="1" applyAlignment="1">
      <alignment vertical="center" shrinkToFit="1"/>
    </xf>
    <xf numFmtId="176" fontId="3" fillId="0" borderId="13" xfId="1" applyNumberFormat="1" applyFont="1" applyFill="1" applyBorder="1" applyAlignment="1">
      <alignment vertical="center" shrinkToFit="1"/>
    </xf>
    <xf numFmtId="176" fontId="3" fillId="6" borderId="25" xfId="1" applyNumberFormat="1" applyFont="1" applyFill="1" applyBorder="1" applyAlignment="1">
      <alignment vertical="center" shrinkToFit="1"/>
    </xf>
    <xf numFmtId="176" fontId="3" fillId="6" borderId="32" xfId="1" applyNumberFormat="1" applyFont="1" applyFill="1" applyBorder="1" applyAlignment="1">
      <alignment vertical="center" shrinkToFit="1"/>
    </xf>
    <xf numFmtId="176" fontId="3" fillId="6" borderId="14" xfId="1" applyNumberFormat="1" applyFont="1" applyFill="1" applyBorder="1" applyAlignment="1">
      <alignment vertical="center" shrinkToFit="1"/>
    </xf>
    <xf numFmtId="176" fontId="3" fillId="9" borderId="14" xfId="1" applyNumberFormat="1" applyFont="1" applyFill="1" applyBorder="1" applyAlignment="1">
      <alignment vertical="center" shrinkToFit="1"/>
    </xf>
    <xf numFmtId="176" fontId="3" fillId="9" borderId="17" xfId="1" applyNumberFormat="1" applyFont="1" applyFill="1" applyBorder="1" applyAlignment="1">
      <alignment vertical="center" shrinkToFit="1"/>
    </xf>
    <xf numFmtId="176" fontId="3" fillId="9" borderId="15" xfId="1" applyNumberFormat="1" applyFont="1" applyFill="1" applyBorder="1" applyAlignment="1">
      <alignment vertical="center" shrinkToFit="1"/>
    </xf>
    <xf numFmtId="176" fontId="3" fillId="6" borderId="13" xfId="1" applyNumberFormat="1" applyFont="1" applyFill="1" applyBorder="1" applyAlignment="1">
      <alignment vertical="center" shrinkToFit="1"/>
    </xf>
    <xf numFmtId="176" fontId="11" fillId="7" borderId="33" xfId="1" applyNumberFormat="1" applyFont="1" applyFill="1" applyBorder="1" applyAlignment="1">
      <alignment vertical="center" shrinkToFit="1"/>
    </xf>
    <xf numFmtId="176" fontId="11" fillId="2" borderId="14" xfId="1" applyNumberFormat="1" applyFont="1" applyFill="1" applyBorder="1" applyAlignment="1">
      <alignment vertical="center" shrinkToFit="1"/>
    </xf>
    <xf numFmtId="176" fontId="11" fillId="6" borderId="27" xfId="1" applyNumberFormat="1" applyFont="1" applyFill="1" applyBorder="1" applyAlignment="1">
      <alignment vertical="center" shrinkToFit="1"/>
    </xf>
    <xf numFmtId="176" fontId="11" fillId="0" borderId="0" xfId="0" applyNumberFormat="1" applyFont="1" applyAlignment="1">
      <alignment vertical="center" shrinkToFit="1"/>
    </xf>
    <xf numFmtId="176" fontId="11" fillId="4" borderId="12" xfId="1" applyNumberFormat="1" applyFont="1" applyFill="1" applyBorder="1" applyAlignment="1">
      <alignment vertical="center" shrinkToFit="1"/>
    </xf>
    <xf numFmtId="176" fontId="11" fillId="5" borderId="33" xfId="1" applyNumberFormat="1" applyFont="1" applyFill="1" applyBorder="1" applyAlignment="1">
      <alignment vertical="center" shrinkToFit="1"/>
    </xf>
    <xf numFmtId="176" fontId="12" fillId="0" borderId="0" xfId="0" applyNumberFormat="1" applyFont="1" applyAlignment="1">
      <alignment horizontal="center" vertical="center"/>
    </xf>
    <xf numFmtId="176" fontId="11" fillId="0" borderId="51" xfId="1" applyNumberFormat="1" applyFont="1" applyFill="1" applyBorder="1" applyAlignment="1">
      <alignment vertical="center" shrinkToFit="1"/>
    </xf>
    <xf numFmtId="176" fontId="11" fillId="0" borderId="57" xfId="1" applyNumberFormat="1" applyFont="1" applyFill="1" applyBorder="1" applyAlignment="1">
      <alignment vertical="center" shrinkToFit="1"/>
    </xf>
    <xf numFmtId="176" fontId="11" fillId="0" borderId="0" xfId="1" applyNumberFormat="1" applyFont="1" applyBorder="1" applyAlignment="1">
      <alignment vertical="center" shrinkToFit="1"/>
    </xf>
    <xf numFmtId="176" fontId="11" fillId="0" borderId="54" xfId="1" applyNumberFormat="1" applyFont="1" applyFill="1" applyBorder="1" applyAlignment="1">
      <alignment vertical="center" shrinkToFit="1"/>
    </xf>
    <xf numFmtId="176" fontId="11" fillId="2" borderId="54" xfId="1" applyNumberFormat="1" applyFont="1" applyFill="1" applyBorder="1" applyAlignment="1">
      <alignment vertical="center" shrinkToFit="1"/>
    </xf>
    <xf numFmtId="176" fontId="11" fillId="0" borderId="12" xfId="1" applyNumberFormat="1" applyFont="1" applyFill="1" applyBorder="1" applyAlignment="1">
      <alignment vertical="center" shrinkToFit="1"/>
    </xf>
    <xf numFmtId="176" fontId="11" fillId="2" borderId="12" xfId="1" applyNumberFormat="1" applyFont="1" applyFill="1" applyBorder="1" applyAlignment="1">
      <alignment vertical="center" shrinkToFit="1"/>
    </xf>
    <xf numFmtId="176" fontId="11" fillId="0" borderId="3" xfId="1" applyNumberFormat="1" applyFont="1" applyFill="1" applyBorder="1" applyAlignment="1">
      <alignment vertical="center" shrinkToFit="1"/>
    </xf>
    <xf numFmtId="176" fontId="11" fillId="2" borderId="3" xfId="1" applyNumberFormat="1" applyFont="1" applyFill="1" applyBorder="1" applyAlignment="1">
      <alignment vertical="center" shrinkToFit="1"/>
    </xf>
    <xf numFmtId="176" fontId="11" fillId="0" borderId="41" xfId="1" applyNumberFormat="1" applyFont="1" applyBorder="1" applyAlignment="1">
      <alignment vertical="center" shrinkToFit="1"/>
    </xf>
    <xf numFmtId="176" fontId="26" fillId="2" borderId="13" xfId="1" applyNumberFormat="1" applyFont="1" applyFill="1" applyBorder="1" applyAlignment="1">
      <alignment vertical="center" shrinkToFit="1"/>
    </xf>
    <xf numFmtId="176" fontId="26" fillId="2" borderId="14" xfId="1" applyNumberFormat="1" applyFont="1" applyFill="1" applyBorder="1" applyAlignment="1">
      <alignment vertical="center" shrinkToFit="1"/>
    </xf>
    <xf numFmtId="176" fontId="26" fillId="0" borderId="14" xfId="1" applyNumberFormat="1" applyFont="1" applyFill="1" applyBorder="1" applyAlignment="1">
      <alignment vertical="center" shrinkToFit="1"/>
    </xf>
    <xf numFmtId="176" fontId="26" fillId="2" borderId="17" xfId="1" applyNumberFormat="1" applyFont="1" applyFill="1" applyBorder="1" applyAlignment="1">
      <alignment vertical="center" shrinkToFit="1"/>
    </xf>
    <xf numFmtId="176" fontId="26" fillId="2" borderId="15" xfId="1" applyNumberFormat="1" applyFont="1" applyFill="1" applyBorder="1" applyAlignment="1">
      <alignment vertical="center" shrinkToFit="1"/>
    </xf>
    <xf numFmtId="176" fontId="27" fillId="2" borderId="14" xfId="1" applyNumberFormat="1" applyFont="1" applyFill="1" applyBorder="1" applyAlignment="1">
      <alignment vertical="center" shrinkToFit="1"/>
    </xf>
    <xf numFmtId="176" fontId="27" fillId="2" borderId="17" xfId="1" applyNumberFormat="1" applyFont="1" applyFill="1" applyBorder="1" applyAlignment="1">
      <alignment vertical="center" shrinkToFit="1"/>
    </xf>
    <xf numFmtId="176" fontId="27" fillId="2" borderId="13" xfId="1" applyNumberFormat="1" applyFont="1" applyFill="1" applyBorder="1" applyAlignment="1">
      <alignment vertical="center" shrinkToFit="1"/>
    </xf>
    <xf numFmtId="176" fontId="27" fillId="3" borderId="39" xfId="1" applyNumberFormat="1" applyFont="1" applyFill="1" applyBorder="1" applyAlignment="1">
      <alignment horizontal="center" vertical="center" shrinkToFit="1"/>
    </xf>
    <xf numFmtId="176" fontId="27" fillId="0" borderId="14" xfId="1" applyNumberFormat="1" applyFont="1" applyFill="1" applyBorder="1" applyAlignment="1">
      <alignment vertical="center" shrinkToFit="1"/>
    </xf>
    <xf numFmtId="176" fontId="27" fillId="2" borderId="15" xfId="1" applyNumberFormat="1" applyFont="1" applyFill="1" applyBorder="1" applyAlignment="1">
      <alignment vertical="center" shrinkToFit="1"/>
    </xf>
    <xf numFmtId="176" fontId="12" fillId="0" borderId="0" xfId="0" applyNumberFormat="1" applyFont="1" applyAlignment="1">
      <alignment vertical="center"/>
    </xf>
    <xf numFmtId="176" fontId="4" fillId="0" borderId="0" xfId="0" applyNumberFormat="1" applyFont="1" applyAlignment="1">
      <alignment vertical="center" wrapText="1"/>
    </xf>
    <xf numFmtId="176" fontId="12" fillId="0" borderId="0" xfId="0" applyNumberFormat="1" applyFont="1" applyAlignment="1">
      <alignment vertical="center" wrapText="1"/>
    </xf>
    <xf numFmtId="176" fontId="28" fillId="0" borderId="0" xfId="0" applyNumberFormat="1" applyFont="1" applyAlignment="1">
      <alignment vertical="center"/>
    </xf>
    <xf numFmtId="176" fontId="4" fillId="8" borderId="0" xfId="0" applyNumberFormat="1" applyFont="1" applyFill="1" applyAlignment="1">
      <alignment vertical="center"/>
    </xf>
    <xf numFmtId="176" fontId="27" fillId="8" borderId="14" xfId="1" applyNumberFormat="1" applyFont="1" applyFill="1" applyBorder="1" applyAlignment="1">
      <alignment vertical="center" shrinkToFit="1"/>
    </xf>
    <xf numFmtId="176" fontId="4" fillId="2" borderId="50" xfId="0" applyNumberFormat="1" applyFont="1" applyFill="1" applyBorder="1" applyAlignment="1">
      <alignment horizontal="center" vertical="center" shrinkToFit="1"/>
    </xf>
    <xf numFmtId="176" fontId="4" fillId="2" borderId="41" xfId="0" applyNumberFormat="1" applyFont="1" applyFill="1" applyBorder="1" applyAlignment="1">
      <alignment horizontal="center" vertical="center" shrinkToFit="1"/>
    </xf>
    <xf numFmtId="176" fontId="4" fillId="2" borderId="60" xfId="0" applyNumberFormat="1" applyFont="1" applyFill="1" applyBorder="1" applyAlignment="1">
      <alignment horizontal="center" vertical="center" shrinkToFit="1"/>
    </xf>
    <xf numFmtId="176" fontId="4" fillId="2" borderId="49" xfId="0" applyNumberFormat="1" applyFont="1" applyFill="1" applyBorder="1" applyAlignment="1">
      <alignment horizontal="center" vertical="center" shrinkToFit="1"/>
    </xf>
    <xf numFmtId="176" fontId="4" fillId="2" borderId="18" xfId="0" applyNumberFormat="1" applyFont="1" applyFill="1" applyBorder="1" applyAlignment="1">
      <alignment horizontal="center" vertical="center" shrinkToFit="1"/>
    </xf>
    <xf numFmtId="176" fontId="4" fillId="2" borderId="2" xfId="0" applyNumberFormat="1" applyFont="1" applyFill="1" applyBorder="1" applyAlignment="1">
      <alignment horizontal="center" vertical="center" shrinkToFit="1"/>
    </xf>
    <xf numFmtId="176" fontId="4" fillId="2" borderId="34" xfId="0" applyNumberFormat="1" applyFont="1" applyFill="1" applyBorder="1" applyAlignment="1">
      <alignment horizontal="center" vertical="center" shrinkToFit="1"/>
    </xf>
    <xf numFmtId="176" fontId="4" fillId="2" borderId="3" xfId="0" applyNumberFormat="1" applyFont="1" applyFill="1" applyBorder="1" applyAlignment="1">
      <alignment horizontal="center" vertical="center" shrinkToFit="1"/>
    </xf>
    <xf numFmtId="176" fontId="3" fillId="5" borderId="26" xfId="0" applyNumberFormat="1" applyFont="1" applyFill="1" applyBorder="1" applyAlignment="1">
      <alignment horizontal="center" vertical="center" shrinkToFit="1"/>
    </xf>
    <xf numFmtId="176" fontId="3" fillId="5" borderId="28" xfId="0" applyNumberFormat="1" applyFont="1" applyFill="1" applyBorder="1" applyAlignment="1">
      <alignment horizontal="center" vertical="center" shrinkToFit="1"/>
    </xf>
    <xf numFmtId="176" fontId="3" fillId="5" borderId="27" xfId="0" applyNumberFormat="1" applyFont="1" applyFill="1" applyBorder="1" applyAlignment="1">
      <alignment horizontal="center" vertical="center" shrinkToFit="1"/>
    </xf>
    <xf numFmtId="176" fontId="3" fillId="0" borderId="29" xfId="0" applyNumberFormat="1" applyFont="1" applyBorder="1" applyAlignment="1">
      <alignment horizontal="center" vertical="center" wrapText="1"/>
    </xf>
    <xf numFmtId="176" fontId="3" fillId="0" borderId="30" xfId="0" applyNumberFormat="1" applyFont="1" applyBorder="1" applyAlignment="1">
      <alignment horizontal="center" vertical="center" wrapText="1"/>
    </xf>
    <xf numFmtId="176" fontId="3" fillId="0" borderId="31" xfId="0" applyNumberFormat="1" applyFont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 shrinkToFit="1"/>
    </xf>
    <xf numFmtId="176" fontId="3" fillId="4" borderId="2" xfId="0" applyNumberFormat="1" applyFont="1" applyFill="1" applyBorder="1" applyAlignment="1">
      <alignment horizontal="center" vertical="center" shrinkToFit="1"/>
    </xf>
    <xf numFmtId="176" fontId="3" fillId="2" borderId="19" xfId="0" applyNumberFormat="1" applyFont="1" applyFill="1" applyBorder="1" applyAlignment="1">
      <alignment horizontal="center" vertical="center" wrapText="1"/>
    </xf>
    <xf numFmtId="176" fontId="3" fillId="2" borderId="20" xfId="0" applyNumberFormat="1" applyFont="1" applyFill="1" applyBorder="1" applyAlignment="1">
      <alignment horizontal="center" vertical="center" wrapText="1"/>
    </xf>
    <xf numFmtId="176" fontId="3" fillId="2" borderId="22" xfId="0" applyNumberFormat="1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/>
    </xf>
    <xf numFmtId="176" fontId="3" fillId="4" borderId="2" xfId="0" applyNumberFormat="1" applyFont="1" applyFill="1" applyBorder="1" applyAlignment="1">
      <alignment horizontal="center" vertical="center"/>
    </xf>
    <xf numFmtId="176" fontId="3" fillId="2" borderId="19" xfId="0" applyNumberFormat="1" applyFont="1" applyFill="1" applyBorder="1" applyAlignment="1">
      <alignment horizontal="center" vertical="center" wrapText="1" shrinkToFit="1"/>
    </xf>
    <xf numFmtId="176" fontId="3" fillId="2" borderId="20" xfId="0" applyNumberFormat="1" applyFont="1" applyFill="1" applyBorder="1" applyAlignment="1">
      <alignment horizontal="center" vertical="center" wrapText="1" shrinkToFit="1"/>
    </xf>
    <xf numFmtId="176" fontId="3" fillId="2" borderId="22" xfId="0" applyNumberFormat="1" applyFont="1" applyFill="1" applyBorder="1" applyAlignment="1">
      <alignment horizontal="center" vertical="center" wrapText="1" shrinkToFit="1"/>
    </xf>
    <xf numFmtId="176" fontId="3" fillId="2" borderId="23" xfId="0" applyNumberFormat="1" applyFont="1" applyFill="1" applyBorder="1" applyAlignment="1">
      <alignment horizontal="center" vertical="center" wrapText="1"/>
    </xf>
    <xf numFmtId="176" fontId="3" fillId="6" borderId="26" xfId="0" applyNumberFormat="1" applyFont="1" applyFill="1" applyBorder="1" applyAlignment="1">
      <alignment horizontal="center" vertical="center" shrinkToFit="1"/>
    </xf>
    <xf numFmtId="176" fontId="3" fillId="6" borderId="27" xfId="0" applyNumberFormat="1" applyFont="1" applyFill="1" applyBorder="1" applyAlignment="1">
      <alignment horizontal="center" vertical="center" shrinkToFit="1"/>
    </xf>
    <xf numFmtId="176" fontId="18" fillId="6" borderId="24" xfId="0" applyNumberFormat="1" applyFont="1" applyFill="1" applyBorder="1" applyAlignment="1">
      <alignment horizontal="center" vertical="center" shrinkToFit="1"/>
    </xf>
    <xf numFmtId="176" fontId="18" fillId="6" borderId="25" xfId="0" applyNumberFormat="1" applyFont="1" applyFill="1" applyBorder="1" applyAlignment="1">
      <alignment horizontal="center" vertical="center" shrinkToFit="1"/>
    </xf>
    <xf numFmtId="176" fontId="18" fillId="6" borderId="28" xfId="0" applyNumberFormat="1" applyFont="1" applyFill="1" applyBorder="1" applyAlignment="1">
      <alignment horizontal="center" vertical="center" shrinkToFit="1"/>
    </xf>
    <xf numFmtId="176" fontId="4" fillId="2" borderId="52" xfId="0" applyNumberFormat="1" applyFont="1" applyFill="1" applyBorder="1" applyAlignment="1">
      <alignment horizontal="center" vertical="center" shrinkToFit="1"/>
    </xf>
    <xf numFmtId="176" fontId="4" fillId="2" borderId="35" xfId="0" applyNumberFormat="1" applyFont="1" applyFill="1" applyBorder="1" applyAlignment="1">
      <alignment horizontal="center" vertical="center" shrinkToFit="1"/>
    </xf>
    <xf numFmtId="176" fontId="4" fillId="2" borderId="53" xfId="0" applyNumberFormat="1" applyFont="1" applyFill="1" applyBorder="1" applyAlignment="1">
      <alignment horizontal="center" vertical="center" shrinkToFit="1"/>
    </xf>
    <xf numFmtId="176" fontId="24" fillId="2" borderId="0" xfId="0" applyNumberFormat="1" applyFont="1" applyFill="1" applyAlignment="1">
      <alignment horizontal="center" vertical="center"/>
    </xf>
    <xf numFmtId="176" fontId="3" fillId="5" borderId="3" xfId="0" applyNumberFormat="1" applyFont="1" applyFill="1" applyBorder="1" applyAlignment="1">
      <alignment horizontal="center" vertical="center" wrapText="1"/>
    </xf>
    <xf numFmtId="176" fontId="3" fillId="5" borderId="1" xfId="0" applyNumberFormat="1" applyFont="1" applyFill="1" applyBorder="1" applyAlignment="1">
      <alignment horizontal="center" vertical="center" wrapText="1"/>
    </xf>
    <xf numFmtId="176" fontId="3" fillId="2" borderId="21" xfId="0" applyNumberFormat="1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shrinkToFit="1"/>
    </xf>
    <xf numFmtId="176" fontId="3" fillId="3" borderId="18" xfId="0" applyNumberFormat="1" applyFont="1" applyFill="1" applyBorder="1" applyAlignment="1">
      <alignment horizontal="center" vertical="center" shrinkToFit="1"/>
    </xf>
    <xf numFmtId="176" fontId="3" fillId="3" borderId="2" xfId="0" applyNumberFormat="1" applyFont="1" applyFill="1" applyBorder="1" applyAlignment="1">
      <alignment horizontal="center" vertical="center" shrinkToFit="1"/>
    </xf>
    <xf numFmtId="176" fontId="4" fillId="2" borderId="36" xfId="0" applyNumberFormat="1" applyFont="1" applyFill="1" applyBorder="1" applyAlignment="1">
      <alignment horizontal="center" vertical="center"/>
    </xf>
    <xf numFmtId="176" fontId="3" fillId="7" borderId="24" xfId="0" applyNumberFormat="1" applyFont="1" applyFill="1" applyBorder="1" applyAlignment="1">
      <alignment horizontal="center" vertical="center" shrinkToFit="1"/>
    </xf>
    <xf numFmtId="176" fontId="3" fillId="7" borderId="28" xfId="0" applyNumberFormat="1" applyFont="1" applyFill="1" applyBorder="1" applyAlignment="1">
      <alignment horizontal="center" vertical="center" shrinkToFit="1"/>
    </xf>
    <xf numFmtId="176" fontId="3" fillId="5" borderId="24" xfId="0" applyNumberFormat="1" applyFont="1" applyFill="1" applyBorder="1" applyAlignment="1">
      <alignment horizontal="center" vertical="center" shrinkToFit="1"/>
    </xf>
    <xf numFmtId="176" fontId="3" fillId="5" borderId="25" xfId="0" applyNumberFormat="1" applyFont="1" applyFill="1" applyBorder="1" applyAlignment="1">
      <alignment horizontal="center" vertical="center" shrinkToFit="1"/>
    </xf>
    <xf numFmtId="176" fontId="3" fillId="2" borderId="46" xfId="0" applyNumberFormat="1" applyFont="1" applyFill="1" applyBorder="1" applyAlignment="1">
      <alignment horizontal="center" vertical="center" shrinkToFit="1"/>
    </xf>
    <xf numFmtId="176" fontId="3" fillId="2" borderId="41" xfId="0" applyNumberFormat="1" applyFont="1" applyFill="1" applyBorder="1" applyAlignment="1">
      <alignment horizontal="center" vertical="center" shrinkToFit="1"/>
    </xf>
    <xf numFmtId="176" fontId="3" fillId="4" borderId="24" xfId="0" applyNumberFormat="1" applyFont="1" applyFill="1" applyBorder="1" applyAlignment="1">
      <alignment horizontal="center" vertical="center" shrinkToFit="1"/>
    </xf>
    <xf numFmtId="176" fontId="3" fillId="4" borderId="28" xfId="0" applyNumberFormat="1" applyFont="1" applyFill="1" applyBorder="1" applyAlignment="1">
      <alignment horizontal="center" vertical="center" shrinkToFit="1"/>
    </xf>
    <xf numFmtId="176" fontId="3" fillId="2" borderId="46" xfId="0" applyNumberFormat="1" applyFont="1" applyFill="1" applyBorder="1" applyAlignment="1">
      <alignment horizontal="center" vertical="center" wrapText="1"/>
    </xf>
    <xf numFmtId="176" fontId="3" fillId="2" borderId="41" xfId="0" applyNumberFormat="1" applyFont="1" applyFill="1" applyBorder="1" applyAlignment="1">
      <alignment horizontal="center" vertical="center" wrapText="1"/>
    </xf>
    <xf numFmtId="176" fontId="3" fillId="6" borderId="46" xfId="0" applyNumberFormat="1" applyFont="1" applyFill="1" applyBorder="1" applyAlignment="1">
      <alignment horizontal="center" vertical="center" shrinkToFit="1"/>
    </xf>
    <xf numFmtId="176" fontId="3" fillId="6" borderId="48" xfId="0" applyNumberFormat="1" applyFont="1" applyFill="1" applyBorder="1" applyAlignment="1">
      <alignment horizontal="center" vertical="center" shrinkToFit="1"/>
    </xf>
    <xf numFmtId="176" fontId="13" fillId="2" borderId="0" xfId="0" applyNumberFormat="1" applyFont="1" applyFill="1" applyAlignment="1">
      <alignment horizontal="center" vertical="center"/>
    </xf>
    <xf numFmtId="176" fontId="3" fillId="5" borderId="18" xfId="0" applyNumberFormat="1" applyFont="1" applyFill="1" applyBorder="1" applyAlignment="1">
      <alignment horizontal="center" vertical="center" wrapText="1"/>
    </xf>
    <xf numFmtId="176" fontId="3" fillId="5" borderId="2" xfId="0" applyNumberFormat="1" applyFont="1" applyFill="1" applyBorder="1" applyAlignment="1">
      <alignment horizontal="center" vertical="center" wrapText="1"/>
    </xf>
    <xf numFmtId="176" fontId="3" fillId="3" borderId="5" xfId="0" applyNumberFormat="1" applyFont="1" applyFill="1" applyBorder="1" applyAlignment="1">
      <alignment horizontal="center" vertical="center" shrinkToFit="1"/>
    </xf>
    <xf numFmtId="176" fontId="3" fillId="3" borderId="38" xfId="0" applyNumberFormat="1" applyFont="1" applyFill="1" applyBorder="1" applyAlignment="1">
      <alignment horizontal="center" vertical="center" shrinkToFit="1"/>
    </xf>
    <xf numFmtId="176" fontId="3" fillId="2" borderId="0" xfId="0" applyNumberFormat="1" applyFont="1" applyFill="1" applyAlignment="1">
      <alignment horizontal="center" vertical="center" shrinkToFit="1"/>
    </xf>
    <xf numFmtId="176" fontId="3" fillId="6" borderId="25" xfId="0" applyNumberFormat="1" applyFont="1" applyFill="1" applyBorder="1" applyAlignment="1">
      <alignment horizontal="center" vertical="center" shrinkToFit="1"/>
    </xf>
    <xf numFmtId="176" fontId="3" fillId="6" borderId="28" xfId="0" applyNumberFormat="1" applyFont="1" applyFill="1" applyBorder="1" applyAlignment="1">
      <alignment horizontal="center" vertical="center" shrinkToFi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97B8F-DC4D-403F-9BDA-84FDDB305467}">
  <sheetPr>
    <pageSetUpPr fitToPage="1"/>
  </sheetPr>
  <dimension ref="A1:Y75"/>
  <sheetViews>
    <sheetView tabSelected="1" zoomScale="85" zoomScaleNormal="85" workbookViewId="0">
      <pane xSplit="4" ySplit="8" topLeftCell="E51" activePane="bottomRight" state="frozen"/>
      <selection pane="topRight" activeCell="E1" sqref="E1"/>
      <selection pane="bottomLeft" activeCell="A7" sqref="A7"/>
      <selection pane="bottomRight" activeCell="P67" sqref="P67"/>
    </sheetView>
  </sheetViews>
  <sheetFormatPr defaultColWidth="9" defaultRowHeight="20.100000000000001" customHeight="1" x14ac:dyDescent="0.3"/>
  <cols>
    <col min="1" max="1" width="5.375" style="1" customWidth="1"/>
    <col min="2" max="3" width="2.625" style="1" customWidth="1"/>
    <col min="4" max="4" width="23.625" style="1" customWidth="1"/>
    <col min="5" max="12" width="8.625" style="16" customWidth="1"/>
    <col min="13" max="13" width="9.625" style="14" customWidth="1"/>
    <col min="14" max="14" width="2.75" style="70" customWidth="1"/>
    <col min="15" max="15" width="41" style="70" bestFit="1" customWidth="1"/>
    <col min="16" max="16" width="32" style="70" customWidth="1"/>
    <col min="17" max="17" width="38.625" style="70" customWidth="1"/>
    <col min="18" max="18" width="60.625" style="70" bestFit="1" customWidth="1"/>
    <col min="19" max="25" width="9.625" style="70" customWidth="1"/>
    <col min="26" max="16384" width="9" style="1"/>
  </cols>
  <sheetData>
    <row r="1" spans="1:25" s="34" customFormat="1" ht="20.100000000000001" customHeight="1" x14ac:dyDescent="0.3">
      <c r="A1" s="181" t="s">
        <v>95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</row>
    <row r="2" spans="1:25" s="13" customFormat="1" ht="20.100000000000001" customHeight="1" x14ac:dyDescent="0.3">
      <c r="A2" s="181"/>
      <c r="B2" s="181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</row>
    <row r="3" spans="1:25" s="13" customFormat="1" ht="20.100000000000001" customHeight="1" x14ac:dyDescent="0.3">
      <c r="A3" s="31"/>
      <c r="B3" s="15"/>
      <c r="C3" s="15"/>
      <c r="D3" s="15"/>
      <c r="E3" s="15"/>
      <c r="F3" s="15"/>
      <c r="G3" s="15"/>
      <c r="H3" s="15"/>
      <c r="I3" s="15"/>
      <c r="J3" s="15"/>
      <c r="K3" s="15"/>
      <c r="L3" s="188" t="s">
        <v>20</v>
      </c>
      <c r="M3" s="188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</row>
    <row r="4" spans="1:25" ht="20.100000000000001" customHeight="1" x14ac:dyDescent="0.3">
      <c r="A4" s="182" t="s">
        <v>33</v>
      </c>
      <c r="B4" s="182"/>
      <c r="C4" s="182"/>
      <c r="D4" s="183"/>
      <c r="E4" s="79">
        <f>SUM(E5:E6)-7</f>
        <v>155</v>
      </c>
      <c r="F4" s="79">
        <f>E67</f>
        <v>126</v>
      </c>
      <c r="G4" s="79">
        <f t="shared" ref="G4:L4" si="0">F67</f>
        <v>147</v>
      </c>
      <c r="H4" s="79">
        <f t="shared" si="0"/>
        <v>110</v>
      </c>
      <c r="I4" s="79">
        <f t="shared" si="0"/>
        <v>87</v>
      </c>
      <c r="J4" s="79">
        <f t="shared" si="0"/>
        <v>79</v>
      </c>
      <c r="K4" s="79">
        <f t="shared" si="0"/>
        <v>53.809999999999967</v>
      </c>
      <c r="L4" s="79">
        <f t="shared" si="0"/>
        <v>71.200000000000045</v>
      </c>
      <c r="M4" s="79"/>
      <c r="R4" s="70" t="s">
        <v>124</v>
      </c>
    </row>
    <row r="5" spans="1:25" ht="20.100000000000001" hidden="1" customHeight="1" x14ac:dyDescent="0.3">
      <c r="A5" s="80"/>
      <c r="B5" s="80"/>
      <c r="C5" s="80"/>
      <c r="D5" s="100" t="s">
        <v>88</v>
      </c>
      <c r="E5" s="101">
        <f>104</f>
        <v>104</v>
      </c>
      <c r="F5" s="101" t="e">
        <f>#REF!</f>
        <v>#REF!</v>
      </c>
      <c r="G5" s="101" t="e">
        <f>#REF!</f>
        <v>#REF!</v>
      </c>
      <c r="H5" s="101" t="e">
        <f>#REF!</f>
        <v>#REF!</v>
      </c>
      <c r="I5" s="101" t="e">
        <f>#REF!</f>
        <v>#REF!</v>
      </c>
      <c r="J5" s="101"/>
      <c r="K5" s="101"/>
      <c r="L5" s="101" t="e">
        <f>#REF!</f>
        <v>#REF!</v>
      </c>
      <c r="M5" s="93"/>
    </row>
    <row r="6" spans="1:25" ht="20.100000000000001" hidden="1" customHeight="1" x14ac:dyDescent="0.3">
      <c r="A6" s="80"/>
      <c r="B6" s="80"/>
      <c r="C6" s="80"/>
      <c r="D6" s="100" t="s">
        <v>89</v>
      </c>
      <c r="E6" s="101">
        <v>58</v>
      </c>
      <c r="F6" s="101" t="e">
        <f>#REF!</f>
        <v>#REF!</v>
      </c>
      <c r="G6" s="101" t="e">
        <f>#REF!</f>
        <v>#REF!</v>
      </c>
      <c r="H6" s="101" t="e">
        <f>#REF!</f>
        <v>#REF!</v>
      </c>
      <c r="I6" s="101" t="e">
        <f>#REF!</f>
        <v>#REF!</v>
      </c>
      <c r="J6" s="101"/>
      <c r="K6" s="101" t="e">
        <f>#REF!</f>
        <v>#REF!</v>
      </c>
      <c r="L6" s="101" t="e">
        <f>#REF!</f>
        <v>#REF!</v>
      </c>
      <c r="M6" s="93"/>
    </row>
    <row r="7" spans="1:25" ht="20.100000000000001" customHeight="1" x14ac:dyDescent="0.3">
      <c r="D7" s="2"/>
      <c r="E7" s="2"/>
      <c r="F7" s="2"/>
      <c r="G7" s="2"/>
      <c r="H7" s="2"/>
      <c r="I7" s="2"/>
      <c r="J7" s="2"/>
      <c r="K7" s="2"/>
      <c r="L7" s="2"/>
      <c r="M7" s="2"/>
      <c r="O7" s="70" t="s">
        <v>171</v>
      </c>
    </row>
    <row r="8" spans="1:25" s="2" customFormat="1" ht="20.100000000000001" customHeight="1" thickBot="1" x14ac:dyDescent="0.35">
      <c r="A8" s="38" t="s">
        <v>6</v>
      </c>
      <c r="B8" s="185" t="s">
        <v>26</v>
      </c>
      <c r="C8" s="186"/>
      <c r="D8" s="187"/>
      <c r="E8" s="28" t="s">
        <v>19</v>
      </c>
      <c r="F8" s="28" t="s">
        <v>18</v>
      </c>
      <c r="G8" s="28" t="s">
        <v>17</v>
      </c>
      <c r="H8" s="28" t="s">
        <v>16</v>
      </c>
      <c r="I8" s="48" t="s">
        <v>98</v>
      </c>
      <c r="J8" s="139" t="s">
        <v>61</v>
      </c>
      <c r="K8" s="139" t="s">
        <v>62</v>
      </c>
      <c r="L8" s="139" t="s">
        <v>63</v>
      </c>
      <c r="M8" s="17" t="s">
        <v>0</v>
      </c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</row>
    <row r="9" spans="1:25" ht="20.100000000000001" customHeight="1" thickBot="1" x14ac:dyDescent="0.35">
      <c r="A9" s="159" t="s">
        <v>14</v>
      </c>
      <c r="B9" s="50"/>
      <c r="C9" s="189" t="s">
        <v>69</v>
      </c>
      <c r="D9" s="190"/>
      <c r="E9" s="51">
        <f t="shared" ref="E9:L9" si="1">SUM(E10:E12)</f>
        <v>281</v>
      </c>
      <c r="F9" s="51">
        <f t="shared" si="1"/>
        <v>291</v>
      </c>
      <c r="G9" s="51">
        <f t="shared" si="1"/>
        <v>290</v>
      </c>
      <c r="H9" s="51">
        <f t="shared" si="1"/>
        <v>272</v>
      </c>
      <c r="I9" s="51">
        <f t="shared" si="1"/>
        <v>305</v>
      </c>
      <c r="J9" s="114">
        <f t="shared" si="1"/>
        <v>341.75</v>
      </c>
      <c r="K9" s="114">
        <f t="shared" si="1"/>
        <v>361.5</v>
      </c>
      <c r="L9" s="114">
        <f t="shared" si="1"/>
        <v>385.5</v>
      </c>
      <c r="M9" s="52"/>
      <c r="P9" s="70" t="s">
        <v>125</v>
      </c>
      <c r="Q9" s="70" t="s">
        <v>126</v>
      </c>
    </row>
    <row r="10" spans="1:25" ht="34.5" x14ac:dyDescent="0.3">
      <c r="A10" s="160"/>
      <c r="B10" s="67"/>
      <c r="C10" s="164"/>
      <c r="D10" s="3" t="s">
        <v>13</v>
      </c>
      <c r="E10" s="29">
        <f>2+148</f>
        <v>150</v>
      </c>
      <c r="F10" s="29">
        <v>151</v>
      </c>
      <c r="G10" s="29">
        <v>152</v>
      </c>
      <c r="H10" s="29">
        <v>148</v>
      </c>
      <c r="I10" s="106">
        <v>159</v>
      </c>
      <c r="J10" s="131">
        <v>167.45</v>
      </c>
      <c r="K10" s="138">
        <v>182</v>
      </c>
      <c r="L10" s="138">
        <v>200</v>
      </c>
      <c r="M10" s="20"/>
      <c r="O10" s="70" t="s">
        <v>167</v>
      </c>
      <c r="Q10" s="70" t="s">
        <v>127</v>
      </c>
      <c r="R10" s="143" t="s">
        <v>105</v>
      </c>
      <c r="S10" s="145" t="s">
        <v>129</v>
      </c>
    </row>
    <row r="11" spans="1:25" ht="34.5" x14ac:dyDescent="0.3">
      <c r="A11" s="160"/>
      <c r="B11" s="37"/>
      <c r="C11" s="165"/>
      <c r="D11" s="4" t="s">
        <v>9</v>
      </c>
      <c r="E11" s="24">
        <f>3+128</f>
        <v>131</v>
      </c>
      <c r="F11" s="24">
        <f>4+136</f>
        <v>140</v>
      </c>
      <c r="G11" s="24">
        <f>3+134</f>
        <v>137</v>
      </c>
      <c r="H11" s="24">
        <f>4+119</f>
        <v>123</v>
      </c>
      <c r="I11" s="78">
        <f>4+139</f>
        <v>143</v>
      </c>
      <c r="J11" s="132">
        <v>163.80000000000001</v>
      </c>
      <c r="K11" s="136">
        <v>169</v>
      </c>
      <c r="L11" s="136">
        <v>175</v>
      </c>
      <c r="M11" s="18"/>
      <c r="O11" s="70" t="s">
        <v>128</v>
      </c>
      <c r="Q11" s="70" t="s">
        <v>127</v>
      </c>
      <c r="R11" s="143" t="s">
        <v>108</v>
      </c>
    </row>
    <row r="12" spans="1:25" ht="20.100000000000001" customHeight="1" thickBot="1" x14ac:dyDescent="0.35">
      <c r="A12" s="160"/>
      <c r="B12" s="64"/>
      <c r="C12" s="184"/>
      <c r="D12" s="4" t="s">
        <v>68</v>
      </c>
      <c r="E12" s="24">
        <v>0</v>
      </c>
      <c r="F12" s="24">
        <v>0</v>
      </c>
      <c r="G12" s="24">
        <v>1</v>
      </c>
      <c r="H12" s="24">
        <v>1</v>
      </c>
      <c r="I12" s="110">
        <v>3</v>
      </c>
      <c r="J12" s="132">
        <v>10.5</v>
      </c>
      <c r="K12" s="136">
        <v>10.5</v>
      </c>
      <c r="L12" s="136">
        <v>10.5</v>
      </c>
      <c r="M12" s="18"/>
      <c r="O12" s="70" t="s">
        <v>166</v>
      </c>
      <c r="R12" s="70" t="s">
        <v>106</v>
      </c>
    </row>
    <row r="13" spans="1:25" ht="20.100000000000001" customHeight="1" thickBot="1" x14ac:dyDescent="0.35">
      <c r="A13" s="160"/>
      <c r="B13" s="63"/>
      <c r="C13" s="189" t="s">
        <v>70</v>
      </c>
      <c r="D13" s="190"/>
      <c r="E13" s="51">
        <f>SUM(E14:E22)</f>
        <v>40</v>
      </c>
      <c r="F13" s="51">
        <f t="shared" ref="F13:L13" si="2">SUM(F14:F22)</f>
        <v>49</v>
      </c>
      <c r="G13" s="51">
        <f t="shared" si="2"/>
        <v>48</v>
      </c>
      <c r="H13" s="51">
        <f t="shared" si="2"/>
        <v>49</v>
      </c>
      <c r="I13" s="51">
        <f t="shared" si="2"/>
        <v>57</v>
      </c>
      <c r="J13" s="114">
        <f t="shared" si="2"/>
        <v>52.800000000000004</v>
      </c>
      <c r="K13" s="114">
        <f t="shared" si="2"/>
        <v>59.800000000000004</v>
      </c>
      <c r="L13" s="114">
        <f t="shared" si="2"/>
        <v>55.9</v>
      </c>
      <c r="M13" s="52"/>
    </row>
    <row r="14" spans="1:25" ht="51.75" x14ac:dyDescent="0.3">
      <c r="A14" s="160"/>
      <c r="B14" s="37"/>
      <c r="C14" s="184"/>
      <c r="D14" s="4" t="s">
        <v>35</v>
      </c>
      <c r="E14" s="24">
        <v>16</v>
      </c>
      <c r="F14" s="24">
        <v>19</v>
      </c>
      <c r="G14" s="24">
        <v>12</v>
      </c>
      <c r="H14" s="24">
        <v>13</v>
      </c>
      <c r="I14" s="78">
        <v>18</v>
      </c>
      <c r="J14" s="136">
        <v>14.2</v>
      </c>
      <c r="K14" s="136">
        <v>14.2</v>
      </c>
      <c r="L14" s="136">
        <v>14.2</v>
      </c>
      <c r="M14" s="18"/>
      <c r="O14" s="70" t="s">
        <v>130</v>
      </c>
      <c r="Q14" s="70" t="s">
        <v>133</v>
      </c>
      <c r="R14" s="143" t="s">
        <v>107</v>
      </c>
    </row>
    <row r="15" spans="1:25" ht="20.100000000000001" customHeight="1" x14ac:dyDescent="0.3">
      <c r="A15" s="160"/>
      <c r="B15" s="37"/>
      <c r="C15" s="184"/>
      <c r="D15" s="4" t="s">
        <v>37</v>
      </c>
      <c r="E15" s="78">
        <v>6</v>
      </c>
      <c r="F15" s="78">
        <v>8</v>
      </c>
      <c r="G15" s="78">
        <v>10</v>
      </c>
      <c r="H15" s="78">
        <v>11</v>
      </c>
      <c r="I15" s="78">
        <v>10</v>
      </c>
      <c r="J15" s="133">
        <v>10</v>
      </c>
      <c r="K15" s="140">
        <v>10</v>
      </c>
      <c r="L15" s="140">
        <v>10</v>
      </c>
      <c r="M15" s="104"/>
      <c r="O15" s="70" t="s">
        <v>131</v>
      </c>
      <c r="R15" s="70" t="s">
        <v>109</v>
      </c>
    </row>
    <row r="16" spans="1:25" ht="20.100000000000001" customHeight="1" x14ac:dyDescent="0.3">
      <c r="A16" s="160"/>
      <c r="B16" s="37"/>
      <c r="C16" s="184"/>
      <c r="D16" s="4" t="s">
        <v>97</v>
      </c>
      <c r="E16" s="78">
        <v>8</v>
      </c>
      <c r="F16" s="78">
        <v>7</v>
      </c>
      <c r="G16" s="78">
        <v>9</v>
      </c>
      <c r="H16" s="78">
        <v>7</v>
      </c>
      <c r="I16" s="110">
        <v>10</v>
      </c>
      <c r="J16" s="133">
        <v>13</v>
      </c>
      <c r="K16" s="140">
        <v>13</v>
      </c>
      <c r="L16" s="140">
        <v>13</v>
      </c>
      <c r="M16" s="104"/>
      <c r="O16" s="70" t="s">
        <v>132</v>
      </c>
      <c r="Q16" s="70" t="s">
        <v>134</v>
      </c>
      <c r="R16" s="70" t="s">
        <v>103</v>
      </c>
    </row>
    <row r="17" spans="1:20" ht="20.100000000000001" customHeight="1" x14ac:dyDescent="0.3">
      <c r="A17" s="160"/>
      <c r="B17" s="37"/>
      <c r="C17" s="184"/>
      <c r="D17" s="4" t="s">
        <v>90</v>
      </c>
      <c r="E17" s="78">
        <v>3</v>
      </c>
      <c r="F17" s="78">
        <v>5</v>
      </c>
      <c r="G17" s="78">
        <v>6</v>
      </c>
      <c r="H17" s="78">
        <v>5</v>
      </c>
      <c r="I17" s="109">
        <v>6</v>
      </c>
      <c r="J17" s="140">
        <v>5</v>
      </c>
      <c r="K17" s="140">
        <v>5</v>
      </c>
      <c r="L17" s="140">
        <v>5</v>
      </c>
      <c r="M17" s="104"/>
      <c r="O17" s="70" t="s">
        <v>135</v>
      </c>
    </row>
    <row r="18" spans="1:20" ht="20.100000000000001" customHeight="1" x14ac:dyDescent="0.3">
      <c r="A18" s="160"/>
      <c r="B18" s="37"/>
      <c r="C18" s="184"/>
      <c r="D18" s="4" t="s">
        <v>36</v>
      </c>
      <c r="E18" s="24">
        <v>4</v>
      </c>
      <c r="F18" s="24">
        <v>4</v>
      </c>
      <c r="G18" s="24">
        <v>3</v>
      </c>
      <c r="H18" s="24">
        <v>4</v>
      </c>
      <c r="I18" s="78">
        <v>4</v>
      </c>
      <c r="J18" s="136">
        <v>4.4000000000000004</v>
      </c>
      <c r="K18" s="136">
        <v>4.4000000000000004</v>
      </c>
      <c r="L18" s="136">
        <v>4.4000000000000004</v>
      </c>
      <c r="M18" s="18"/>
      <c r="O18" s="70" t="s">
        <v>136</v>
      </c>
    </row>
    <row r="19" spans="1:20" ht="20.100000000000001" customHeight="1" x14ac:dyDescent="0.3">
      <c r="A19" s="160"/>
      <c r="B19" s="37"/>
      <c r="C19" s="184"/>
      <c r="D19" s="4" t="s">
        <v>86</v>
      </c>
      <c r="E19" s="24">
        <v>0</v>
      </c>
      <c r="F19" s="24">
        <v>0</v>
      </c>
      <c r="G19" s="24">
        <v>0</v>
      </c>
      <c r="H19" s="24">
        <v>0</v>
      </c>
      <c r="I19" s="78">
        <v>2</v>
      </c>
      <c r="J19" s="136">
        <v>1.2</v>
      </c>
      <c r="K19" s="136">
        <v>1.2</v>
      </c>
      <c r="L19" s="136">
        <v>1.3</v>
      </c>
      <c r="M19" s="18"/>
      <c r="O19" s="70" t="s">
        <v>137</v>
      </c>
    </row>
    <row r="20" spans="1:20" ht="69" x14ac:dyDescent="0.3">
      <c r="A20" s="160"/>
      <c r="B20" s="37"/>
      <c r="C20" s="184"/>
      <c r="D20" s="32" t="s">
        <v>29</v>
      </c>
      <c r="E20" s="27">
        <v>1</v>
      </c>
      <c r="F20" s="27">
        <v>3</v>
      </c>
      <c r="G20" s="27">
        <v>7</v>
      </c>
      <c r="H20" s="27">
        <v>6</v>
      </c>
      <c r="I20" s="111">
        <v>1</v>
      </c>
      <c r="J20" s="134">
        <f>14-12</f>
        <v>2</v>
      </c>
      <c r="K20" s="137">
        <v>7</v>
      </c>
      <c r="L20" s="137">
        <v>3</v>
      </c>
      <c r="M20" s="21"/>
      <c r="O20" s="70" t="s">
        <v>138</v>
      </c>
      <c r="Q20" s="70" t="s">
        <v>141</v>
      </c>
      <c r="R20" s="143" t="s">
        <v>121</v>
      </c>
    </row>
    <row r="21" spans="1:20" ht="35.25" thickBot="1" x14ac:dyDescent="0.35">
      <c r="A21" s="160"/>
      <c r="B21" s="37"/>
      <c r="C21" s="66"/>
      <c r="D21" s="4" t="s">
        <v>92</v>
      </c>
      <c r="E21" s="24">
        <v>2</v>
      </c>
      <c r="F21" s="24">
        <v>3</v>
      </c>
      <c r="G21" s="24">
        <v>1</v>
      </c>
      <c r="H21" s="24">
        <v>3</v>
      </c>
      <c r="I21" s="109">
        <v>6</v>
      </c>
      <c r="J21" s="132">
        <v>3</v>
      </c>
      <c r="K21" s="136">
        <v>5</v>
      </c>
      <c r="L21" s="136">
        <v>5</v>
      </c>
      <c r="M21" s="18"/>
      <c r="O21" s="70" t="s">
        <v>139</v>
      </c>
      <c r="Q21" s="70" t="s">
        <v>140</v>
      </c>
      <c r="R21" s="144" t="s">
        <v>118</v>
      </c>
    </row>
    <row r="22" spans="1:20" ht="18" hidden="1" customHeight="1" thickBot="1" x14ac:dyDescent="0.35">
      <c r="A22" s="160"/>
      <c r="B22" s="37"/>
      <c r="C22" s="66"/>
      <c r="D22" s="4"/>
      <c r="E22" s="24"/>
      <c r="F22" s="24"/>
      <c r="G22" s="24"/>
      <c r="H22" s="24"/>
      <c r="I22" s="24"/>
      <c r="J22" s="115"/>
      <c r="K22" s="115"/>
      <c r="L22" s="115"/>
      <c r="M22" s="18"/>
    </row>
    <row r="23" spans="1:20" ht="20.100000000000001" customHeight="1" thickBot="1" x14ac:dyDescent="0.35">
      <c r="A23" s="160"/>
      <c r="B23" s="37"/>
      <c r="C23" s="189" t="s">
        <v>38</v>
      </c>
      <c r="D23" s="190"/>
      <c r="E23" s="51">
        <f t="shared" ref="E23:L23" si="3">SUM(E24:E26)</f>
        <v>34</v>
      </c>
      <c r="F23" s="51">
        <f t="shared" si="3"/>
        <v>39</v>
      </c>
      <c r="G23" s="51">
        <f t="shared" si="3"/>
        <v>55</v>
      </c>
      <c r="H23" s="51">
        <f t="shared" si="3"/>
        <v>56</v>
      </c>
      <c r="I23" s="51">
        <f>SUM(I24:I26)</f>
        <v>44</v>
      </c>
      <c r="J23" s="114">
        <f t="shared" si="3"/>
        <v>35.199999999999996</v>
      </c>
      <c r="K23" s="114">
        <f t="shared" si="3"/>
        <v>32.200000000000003</v>
      </c>
      <c r="L23" s="114">
        <f t="shared" si="3"/>
        <v>32.200000000000003</v>
      </c>
      <c r="M23" s="52"/>
    </row>
    <row r="24" spans="1:20" ht="20.100000000000001" customHeight="1" x14ac:dyDescent="0.3">
      <c r="A24" s="160"/>
      <c r="B24" s="37"/>
      <c r="C24" s="172"/>
      <c r="D24" s="4" t="s">
        <v>84</v>
      </c>
      <c r="E24" s="78">
        <v>30</v>
      </c>
      <c r="F24" s="78">
        <v>34</v>
      </c>
      <c r="G24" s="78">
        <v>49</v>
      </c>
      <c r="H24" s="78">
        <v>51</v>
      </c>
      <c r="I24" s="78">
        <v>37</v>
      </c>
      <c r="J24" s="133">
        <v>30</v>
      </c>
      <c r="K24" s="140">
        <v>27</v>
      </c>
      <c r="L24" s="140">
        <v>27</v>
      </c>
      <c r="M24" s="104"/>
      <c r="O24" s="70" t="s">
        <v>144</v>
      </c>
      <c r="Q24" s="70" t="s">
        <v>142</v>
      </c>
    </row>
    <row r="25" spans="1:20" ht="20.100000000000001" customHeight="1" x14ac:dyDescent="0.3">
      <c r="A25" s="160"/>
      <c r="B25" s="37"/>
      <c r="C25" s="172"/>
      <c r="D25" s="4" t="s">
        <v>85</v>
      </c>
      <c r="E25" s="78">
        <v>3</v>
      </c>
      <c r="F25" s="78">
        <v>4</v>
      </c>
      <c r="G25" s="78">
        <v>6</v>
      </c>
      <c r="H25" s="78">
        <v>5</v>
      </c>
      <c r="I25" s="78">
        <v>5</v>
      </c>
      <c r="J25" s="133">
        <v>4.8</v>
      </c>
      <c r="K25" s="140">
        <v>4.8</v>
      </c>
      <c r="L25" s="140">
        <v>4.8</v>
      </c>
      <c r="M25" s="104"/>
      <c r="O25" s="70" t="s">
        <v>144</v>
      </c>
      <c r="R25" s="70" t="s">
        <v>102</v>
      </c>
    </row>
    <row r="26" spans="1:20" ht="20.100000000000001" customHeight="1" thickBot="1" x14ac:dyDescent="0.35">
      <c r="A26" s="160"/>
      <c r="B26" s="37"/>
      <c r="C26" s="172"/>
      <c r="D26" s="4" t="s">
        <v>39</v>
      </c>
      <c r="E26" s="78">
        <v>1</v>
      </c>
      <c r="F26" s="78">
        <v>1</v>
      </c>
      <c r="G26" s="78">
        <v>0</v>
      </c>
      <c r="H26" s="78">
        <v>0</v>
      </c>
      <c r="I26" s="78">
        <v>2</v>
      </c>
      <c r="J26" s="133">
        <v>0.4</v>
      </c>
      <c r="K26" s="140">
        <v>0.4</v>
      </c>
      <c r="L26" s="140">
        <v>0.4</v>
      </c>
      <c r="M26" s="104"/>
    </row>
    <row r="27" spans="1:20" ht="20.100000000000001" customHeight="1" thickBot="1" x14ac:dyDescent="0.35">
      <c r="A27" s="161"/>
      <c r="B27" s="173" t="s">
        <v>30</v>
      </c>
      <c r="C27" s="174"/>
      <c r="D27" s="174"/>
      <c r="E27" s="41">
        <f>E9+E13+E23</f>
        <v>355</v>
      </c>
      <c r="F27" s="41">
        <f t="shared" ref="F27:L27" si="4">F9+F13+F23</f>
        <v>379</v>
      </c>
      <c r="G27" s="41">
        <f t="shared" si="4"/>
        <v>393</v>
      </c>
      <c r="H27" s="41">
        <f t="shared" si="4"/>
        <v>377</v>
      </c>
      <c r="I27" s="41">
        <f>I9+I13+I23</f>
        <v>406</v>
      </c>
      <c r="J27" s="116">
        <f t="shared" si="4"/>
        <v>429.75</v>
      </c>
      <c r="K27" s="116">
        <f t="shared" si="4"/>
        <v>453.5</v>
      </c>
      <c r="L27" s="116">
        <f t="shared" si="4"/>
        <v>473.59999999999997</v>
      </c>
      <c r="M27" s="42"/>
    </row>
    <row r="28" spans="1:20" ht="20.100000000000001" customHeight="1" thickBot="1" x14ac:dyDescent="0.35">
      <c r="J28" s="117"/>
      <c r="K28" s="117"/>
      <c r="L28" s="117"/>
    </row>
    <row r="29" spans="1:20" ht="20.100000000000001" customHeight="1" x14ac:dyDescent="0.3">
      <c r="A29" s="159" t="s">
        <v>15</v>
      </c>
      <c r="B29" s="39"/>
      <c r="C29" s="162" t="s">
        <v>28</v>
      </c>
      <c r="D29" s="163"/>
      <c r="E29" s="25">
        <f t="shared" ref="E29:L29" si="5">SUM(E30:E34)</f>
        <v>165</v>
      </c>
      <c r="F29" s="25">
        <f t="shared" si="5"/>
        <v>168</v>
      </c>
      <c r="G29" s="25">
        <f t="shared" si="5"/>
        <v>176</v>
      </c>
      <c r="H29" s="25">
        <f t="shared" si="5"/>
        <v>177</v>
      </c>
      <c r="I29" s="25">
        <f t="shared" si="5"/>
        <v>187</v>
      </c>
      <c r="J29" s="118">
        <f t="shared" si="5"/>
        <v>195</v>
      </c>
      <c r="K29" s="118">
        <f t="shared" si="5"/>
        <v>198.59999999999997</v>
      </c>
      <c r="L29" s="118">
        <f t="shared" si="5"/>
        <v>203.23499999999999</v>
      </c>
      <c r="M29" s="19"/>
    </row>
    <row r="30" spans="1:20" ht="51.75" x14ac:dyDescent="0.3">
      <c r="A30" s="160"/>
      <c r="B30" s="37"/>
      <c r="C30" s="164"/>
      <c r="D30" s="33" t="s">
        <v>21</v>
      </c>
      <c r="E30" s="29">
        <f>104-8-2</f>
        <v>94</v>
      </c>
      <c r="F30" s="29">
        <f>105-8-3+4</f>
        <v>98</v>
      </c>
      <c r="G30" s="29">
        <f>112-10</f>
        <v>102</v>
      </c>
      <c r="H30" s="29">
        <f>96+6+10-9</f>
        <v>103</v>
      </c>
      <c r="I30" s="29">
        <f>120-8-6</f>
        <v>106</v>
      </c>
      <c r="J30" s="131">
        <f>948-826-5-8</f>
        <v>109</v>
      </c>
      <c r="K30" s="138">
        <v>111</v>
      </c>
      <c r="L30" s="138">
        <v>114</v>
      </c>
      <c r="M30" s="20"/>
      <c r="O30" s="143" t="s">
        <v>143</v>
      </c>
      <c r="Q30" s="70" t="s">
        <v>164</v>
      </c>
      <c r="R30" s="70" t="s">
        <v>111</v>
      </c>
      <c r="T30" s="70" t="s">
        <v>104</v>
      </c>
    </row>
    <row r="31" spans="1:20" ht="20.100000000000001" customHeight="1" x14ac:dyDescent="0.3">
      <c r="A31" s="160"/>
      <c r="B31" s="37"/>
      <c r="C31" s="165"/>
      <c r="D31" s="4" t="s">
        <v>22</v>
      </c>
      <c r="E31" s="24">
        <v>46</v>
      </c>
      <c r="F31" s="24">
        <v>44</v>
      </c>
      <c r="G31" s="24">
        <v>50</v>
      </c>
      <c r="H31" s="24">
        <f>34+18</f>
        <v>52</v>
      </c>
      <c r="I31" s="24">
        <f>42+13</f>
        <v>55</v>
      </c>
      <c r="J31" s="132">
        <v>56</v>
      </c>
      <c r="K31" s="136">
        <f>J31*1.025</f>
        <v>57.399999999999991</v>
      </c>
      <c r="L31" s="136">
        <f>K31*1.025</f>
        <v>58.834999999999987</v>
      </c>
      <c r="M31" s="18"/>
      <c r="O31" s="70" t="s">
        <v>145</v>
      </c>
      <c r="Q31" s="70" t="s">
        <v>164</v>
      </c>
      <c r="R31" s="70" t="s">
        <v>110</v>
      </c>
    </row>
    <row r="32" spans="1:20" ht="20.100000000000001" customHeight="1" x14ac:dyDescent="0.3">
      <c r="A32" s="160"/>
      <c r="B32" s="37"/>
      <c r="C32" s="165"/>
      <c r="D32" s="4" t="s">
        <v>23</v>
      </c>
      <c r="E32" s="24">
        <v>9</v>
      </c>
      <c r="F32" s="24">
        <v>8</v>
      </c>
      <c r="G32" s="24">
        <v>5</v>
      </c>
      <c r="H32" s="24">
        <v>5</v>
      </c>
      <c r="I32" s="24">
        <v>6</v>
      </c>
      <c r="J32" s="132">
        <v>6</v>
      </c>
      <c r="K32" s="136">
        <v>6.2</v>
      </c>
      <c r="L32" s="136">
        <v>6.4</v>
      </c>
      <c r="M32" s="18"/>
      <c r="O32" s="70" t="s">
        <v>147</v>
      </c>
      <c r="Q32" s="70" t="s">
        <v>146</v>
      </c>
    </row>
    <row r="33" spans="1:19" ht="20.100000000000001" customHeight="1" x14ac:dyDescent="0.3">
      <c r="A33" s="160"/>
      <c r="B33" s="37"/>
      <c r="C33" s="165"/>
      <c r="D33" s="4" t="s">
        <v>24</v>
      </c>
      <c r="E33" s="24">
        <v>3</v>
      </c>
      <c r="F33" s="24">
        <v>4</v>
      </c>
      <c r="G33" s="24">
        <v>5</v>
      </c>
      <c r="H33" s="24">
        <f>2+1</f>
        <v>3</v>
      </c>
      <c r="I33" s="24">
        <v>4</v>
      </c>
      <c r="J33" s="132">
        <v>4</v>
      </c>
      <c r="K33" s="136">
        <v>4</v>
      </c>
      <c r="L33" s="136">
        <v>4</v>
      </c>
      <c r="M33" s="18"/>
      <c r="O33" s="70" t="s">
        <v>148</v>
      </c>
      <c r="R33" s="70" t="s">
        <v>112</v>
      </c>
    </row>
    <row r="34" spans="1:19" ht="20.100000000000001" customHeight="1" x14ac:dyDescent="0.3">
      <c r="A34" s="160"/>
      <c r="B34" s="37"/>
      <c r="C34" s="166"/>
      <c r="D34" s="5" t="s">
        <v>25</v>
      </c>
      <c r="E34" s="30">
        <f>11+2</f>
        <v>13</v>
      </c>
      <c r="F34" s="30">
        <v>14</v>
      </c>
      <c r="G34" s="30">
        <f>12+2</f>
        <v>14</v>
      </c>
      <c r="H34" s="30">
        <f>12+2</f>
        <v>14</v>
      </c>
      <c r="I34" s="30">
        <v>16</v>
      </c>
      <c r="J34" s="135">
        <v>20</v>
      </c>
      <c r="K34" s="141">
        <v>20</v>
      </c>
      <c r="L34" s="141">
        <v>20</v>
      </c>
      <c r="M34" s="21"/>
      <c r="O34" s="70" t="s">
        <v>149</v>
      </c>
      <c r="Q34" s="146" t="s">
        <v>150</v>
      </c>
      <c r="R34" s="70" t="s">
        <v>113</v>
      </c>
    </row>
    <row r="35" spans="1:19" ht="20.100000000000001" customHeight="1" x14ac:dyDescent="0.3">
      <c r="A35" s="160"/>
      <c r="B35" s="37"/>
      <c r="C35" s="167" t="s">
        <v>1</v>
      </c>
      <c r="D35" s="168"/>
      <c r="E35" s="25">
        <f t="shared" ref="E35:L35" si="6">SUM(E36:E38)</f>
        <v>77</v>
      </c>
      <c r="F35" s="25">
        <f t="shared" si="6"/>
        <v>87</v>
      </c>
      <c r="G35" s="25">
        <f t="shared" si="6"/>
        <v>88</v>
      </c>
      <c r="H35" s="25">
        <f t="shared" si="6"/>
        <v>94</v>
      </c>
      <c r="I35" s="25">
        <f t="shared" si="6"/>
        <v>110</v>
      </c>
      <c r="J35" s="118">
        <f t="shared" si="6"/>
        <v>110</v>
      </c>
      <c r="K35" s="118">
        <f t="shared" si="6"/>
        <v>112.7</v>
      </c>
      <c r="L35" s="118">
        <f t="shared" si="6"/>
        <v>117.18</v>
      </c>
      <c r="M35" s="19"/>
    </row>
    <row r="36" spans="1:19" ht="34.5" x14ac:dyDescent="0.3">
      <c r="A36" s="160"/>
      <c r="B36" s="37"/>
      <c r="C36" s="169"/>
      <c r="D36" s="6" t="s">
        <v>4</v>
      </c>
      <c r="E36" s="29">
        <f>24+11</f>
        <v>35</v>
      </c>
      <c r="F36" s="29">
        <f>28+13</f>
        <v>41</v>
      </c>
      <c r="G36" s="29">
        <f>32+10</f>
        <v>42</v>
      </c>
      <c r="H36" s="29">
        <v>40</v>
      </c>
      <c r="I36" s="29">
        <v>47</v>
      </c>
      <c r="J36" s="131">
        <v>46</v>
      </c>
      <c r="K36" s="138">
        <v>47</v>
      </c>
      <c r="L36" s="138">
        <v>49</v>
      </c>
      <c r="M36" s="20"/>
      <c r="O36" s="70" t="s">
        <v>153</v>
      </c>
      <c r="Q36" s="143" t="s">
        <v>151</v>
      </c>
      <c r="R36" s="143" t="s">
        <v>114</v>
      </c>
    </row>
    <row r="37" spans="1:19" ht="34.5" x14ac:dyDescent="0.3">
      <c r="A37" s="160"/>
      <c r="B37" s="37"/>
      <c r="C37" s="170"/>
      <c r="D37" s="7" t="s">
        <v>5</v>
      </c>
      <c r="E37" s="24">
        <v>27</v>
      </c>
      <c r="F37" s="24">
        <f>32-5</f>
        <v>27</v>
      </c>
      <c r="G37" s="24">
        <f>28-1</f>
        <v>27</v>
      </c>
      <c r="H37" s="24">
        <f>22+7-1</f>
        <v>28</v>
      </c>
      <c r="I37" s="109">
        <f>31-2</f>
        <v>29</v>
      </c>
      <c r="J37" s="132">
        <v>30</v>
      </c>
      <c r="K37" s="136">
        <f>24.7+6</f>
        <v>30.7</v>
      </c>
      <c r="L37" s="136">
        <f>27+6*1.03</f>
        <v>33.18</v>
      </c>
      <c r="M37" s="18"/>
      <c r="O37" s="70" t="s">
        <v>155</v>
      </c>
      <c r="Q37" s="143" t="s">
        <v>152</v>
      </c>
      <c r="R37" s="144" t="s">
        <v>117</v>
      </c>
    </row>
    <row r="38" spans="1:19" ht="51.75" x14ac:dyDescent="0.3">
      <c r="A38" s="160"/>
      <c r="B38" s="37"/>
      <c r="C38" s="171"/>
      <c r="D38" s="8" t="s">
        <v>3</v>
      </c>
      <c r="E38" s="30">
        <f>18-3</f>
        <v>15</v>
      </c>
      <c r="F38" s="30">
        <f>23-4</f>
        <v>19</v>
      </c>
      <c r="G38" s="30">
        <f>23-4</f>
        <v>19</v>
      </c>
      <c r="H38" s="30">
        <f>29-3</f>
        <v>26</v>
      </c>
      <c r="I38" s="112">
        <f>36-2</f>
        <v>34</v>
      </c>
      <c r="J38" s="135">
        <f>16+22-4</f>
        <v>34</v>
      </c>
      <c r="K38" s="141">
        <f>13+22</f>
        <v>35</v>
      </c>
      <c r="L38" s="141">
        <f>13+22</f>
        <v>35</v>
      </c>
      <c r="M38" s="21"/>
      <c r="O38" s="70" t="s">
        <v>154</v>
      </c>
      <c r="P38" s="146" t="s">
        <v>157</v>
      </c>
      <c r="Q38" s="70" t="s">
        <v>156</v>
      </c>
      <c r="R38" s="144" t="s">
        <v>115</v>
      </c>
      <c r="S38" s="70" t="s">
        <v>122</v>
      </c>
    </row>
    <row r="39" spans="1:19" ht="20.100000000000001" customHeight="1" x14ac:dyDescent="0.3">
      <c r="A39" s="160"/>
      <c r="B39" s="37"/>
      <c r="C39" s="162" t="s">
        <v>10</v>
      </c>
      <c r="D39" s="163"/>
      <c r="E39" s="25">
        <f t="shared" ref="E39:L39" si="7">SUM(E40:E46)</f>
        <v>79</v>
      </c>
      <c r="F39" s="25">
        <f t="shared" si="7"/>
        <v>83</v>
      </c>
      <c r="G39" s="25">
        <f t="shared" si="7"/>
        <v>83</v>
      </c>
      <c r="H39" s="25">
        <f t="shared" si="7"/>
        <v>82</v>
      </c>
      <c r="I39" s="25">
        <f t="shared" si="7"/>
        <v>87</v>
      </c>
      <c r="J39" s="118">
        <f t="shared" si="7"/>
        <v>107.70000000000002</v>
      </c>
      <c r="K39" s="118">
        <f t="shared" si="7"/>
        <v>101.9</v>
      </c>
      <c r="L39" s="118">
        <f t="shared" si="7"/>
        <v>105.10000000000001</v>
      </c>
      <c r="M39" s="19"/>
    </row>
    <row r="40" spans="1:19" ht="20.100000000000001" customHeight="1" x14ac:dyDescent="0.3">
      <c r="A40" s="160"/>
      <c r="B40" s="37"/>
      <c r="C40" s="164"/>
      <c r="D40" s="9" t="s">
        <v>2</v>
      </c>
      <c r="E40" s="29">
        <v>9</v>
      </c>
      <c r="F40" s="29">
        <v>11</v>
      </c>
      <c r="G40" s="29">
        <v>8</v>
      </c>
      <c r="H40" s="29">
        <v>7</v>
      </c>
      <c r="I40" s="29">
        <f>7</f>
        <v>7</v>
      </c>
      <c r="J40" s="131">
        <v>13</v>
      </c>
      <c r="K40" s="138">
        <v>13</v>
      </c>
      <c r="L40" s="138">
        <v>13</v>
      </c>
      <c r="M40" s="20"/>
      <c r="O40" s="70" t="s">
        <v>158</v>
      </c>
      <c r="Q40" s="70" t="s">
        <v>165</v>
      </c>
      <c r="R40" s="70" t="s">
        <v>123</v>
      </c>
    </row>
    <row r="41" spans="1:19" ht="20.100000000000001" customHeight="1" x14ac:dyDescent="0.3">
      <c r="A41" s="160"/>
      <c r="B41" s="37"/>
      <c r="C41" s="172"/>
      <c r="D41" s="10" t="s">
        <v>7</v>
      </c>
      <c r="E41" s="78">
        <v>30</v>
      </c>
      <c r="F41" s="78">
        <v>30</v>
      </c>
      <c r="G41" s="78">
        <v>30</v>
      </c>
      <c r="H41" s="78">
        <v>29</v>
      </c>
      <c r="I41" s="109">
        <v>30</v>
      </c>
      <c r="J41" s="133">
        <v>32.700000000000003</v>
      </c>
      <c r="K41" s="140">
        <v>27.6</v>
      </c>
      <c r="L41" s="147">
        <v>30.1</v>
      </c>
      <c r="M41" s="104"/>
      <c r="O41" s="70" t="s">
        <v>159</v>
      </c>
      <c r="Q41" s="70" t="s">
        <v>168</v>
      </c>
    </row>
    <row r="42" spans="1:19" ht="20.100000000000001" customHeight="1" x14ac:dyDescent="0.3">
      <c r="A42" s="160"/>
      <c r="B42" s="37"/>
      <c r="C42" s="165"/>
      <c r="D42" s="10" t="s">
        <v>8</v>
      </c>
      <c r="E42" s="78">
        <v>22</v>
      </c>
      <c r="F42" s="78">
        <v>22</v>
      </c>
      <c r="G42" s="78">
        <v>20</v>
      </c>
      <c r="H42" s="78">
        <v>18</v>
      </c>
      <c r="I42" s="78">
        <v>21</v>
      </c>
      <c r="J42" s="133">
        <v>25.7</v>
      </c>
      <c r="K42" s="140">
        <v>25</v>
      </c>
      <c r="L42" s="147">
        <v>25.7</v>
      </c>
      <c r="M42" s="104"/>
      <c r="O42" s="70" t="s">
        <v>159</v>
      </c>
      <c r="Q42" s="70" t="s">
        <v>169</v>
      </c>
      <c r="R42" s="70" t="s">
        <v>120</v>
      </c>
    </row>
    <row r="43" spans="1:19" ht="20.100000000000001" customHeight="1" x14ac:dyDescent="0.3">
      <c r="A43" s="160"/>
      <c r="B43" s="37"/>
      <c r="C43" s="165"/>
      <c r="D43" s="10" t="s">
        <v>83</v>
      </c>
      <c r="E43" s="78">
        <v>1</v>
      </c>
      <c r="F43" s="78">
        <v>2</v>
      </c>
      <c r="G43" s="78">
        <v>3</v>
      </c>
      <c r="H43" s="78">
        <v>3</v>
      </c>
      <c r="I43" s="78">
        <v>2</v>
      </c>
      <c r="J43" s="133">
        <v>2</v>
      </c>
      <c r="K43" s="140">
        <v>2</v>
      </c>
      <c r="L43" s="140">
        <v>2</v>
      </c>
      <c r="M43" s="104"/>
      <c r="O43" s="70" t="s">
        <v>160</v>
      </c>
      <c r="R43" s="142"/>
    </row>
    <row r="44" spans="1:19" ht="20.100000000000001" customHeight="1" x14ac:dyDescent="0.3">
      <c r="A44" s="160"/>
      <c r="B44" s="37"/>
      <c r="C44" s="165"/>
      <c r="D44" s="4" t="s">
        <v>40</v>
      </c>
      <c r="E44" s="24">
        <f>4+2</f>
        <v>6</v>
      </c>
      <c r="F44" s="24">
        <v>7</v>
      </c>
      <c r="G44" s="24">
        <f>5+3</f>
        <v>8</v>
      </c>
      <c r="H44" s="24">
        <f>6+3</f>
        <v>9</v>
      </c>
      <c r="I44" s="24">
        <v>9</v>
      </c>
      <c r="J44" s="136">
        <v>10.9</v>
      </c>
      <c r="K44" s="136">
        <v>10.9</v>
      </c>
      <c r="L44" s="136">
        <v>10.9</v>
      </c>
      <c r="M44" s="18"/>
      <c r="O44" s="70" t="s">
        <v>161</v>
      </c>
    </row>
    <row r="45" spans="1:19" ht="20.100000000000001" customHeight="1" x14ac:dyDescent="0.3">
      <c r="A45" s="160"/>
      <c r="B45" s="37"/>
      <c r="C45" s="165"/>
      <c r="D45" s="4" t="s">
        <v>41</v>
      </c>
      <c r="E45" s="24">
        <v>7</v>
      </c>
      <c r="F45" s="24">
        <f>3+4</f>
        <v>7</v>
      </c>
      <c r="G45" s="24">
        <f>10+1</f>
        <v>11</v>
      </c>
      <c r="H45" s="24">
        <f>2+10</f>
        <v>12</v>
      </c>
      <c r="I45" s="24">
        <v>14</v>
      </c>
      <c r="J45" s="136">
        <v>19</v>
      </c>
      <c r="K45" s="136">
        <v>19</v>
      </c>
      <c r="L45" s="136">
        <v>19</v>
      </c>
      <c r="M45" s="18"/>
      <c r="O45" s="70" t="s">
        <v>162</v>
      </c>
      <c r="Q45" s="146" t="s">
        <v>163</v>
      </c>
    </row>
    <row r="46" spans="1:19" ht="20.100000000000001" customHeight="1" x14ac:dyDescent="0.3">
      <c r="A46" s="160"/>
      <c r="B46" s="37"/>
      <c r="C46" s="66"/>
      <c r="D46" s="26" t="s">
        <v>42</v>
      </c>
      <c r="E46" s="27">
        <v>4</v>
      </c>
      <c r="F46" s="27">
        <v>4</v>
      </c>
      <c r="G46" s="27">
        <v>3</v>
      </c>
      <c r="H46" s="27">
        <v>4</v>
      </c>
      <c r="I46" s="27">
        <v>4</v>
      </c>
      <c r="J46" s="137">
        <v>4.4000000000000004</v>
      </c>
      <c r="K46" s="137">
        <v>4.4000000000000004</v>
      </c>
      <c r="L46" s="137">
        <v>4.4000000000000004</v>
      </c>
      <c r="M46" s="18"/>
    </row>
    <row r="47" spans="1:19" ht="34.5" x14ac:dyDescent="0.3">
      <c r="A47" s="160"/>
      <c r="B47" s="37"/>
      <c r="C47" s="162" t="s">
        <v>11</v>
      </c>
      <c r="D47" s="163"/>
      <c r="E47" s="25">
        <f t="shared" ref="E47:L47" si="8">SUM(E48:E49)</f>
        <v>16</v>
      </c>
      <c r="F47" s="25">
        <f t="shared" si="8"/>
        <v>15</v>
      </c>
      <c r="G47" s="25">
        <f t="shared" si="8"/>
        <v>37</v>
      </c>
      <c r="H47" s="25">
        <f t="shared" si="8"/>
        <v>24</v>
      </c>
      <c r="I47" s="25">
        <f t="shared" si="8"/>
        <v>20</v>
      </c>
      <c r="J47" s="118">
        <f t="shared" si="8"/>
        <v>16.2</v>
      </c>
      <c r="K47" s="118">
        <f t="shared" si="8"/>
        <v>15</v>
      </c>
      <c r="L47" s="118">
        <f t="shared" si="8"/>
        <v>39</v>
      </c>
      <c r="M47" s="19"/>
      <c r="Q47" s="143" t="s">
        <v>170</v>
      </c>
    </row>
    <row r="48" spans="1:19" ht="20.100000000000001" customHeight="1" x14ac:dyDescent="0.3">
      <c r="A48" s="160"/>
      <c r="B48" s="37"/>
      <c r="C48" s="164"/>
      <c r="D48" s="9" t="s">
        <v>12</v>
      </c>
      <c r="E48" s="29">
        <f>1+11</f>
        <v>12</v>
      </c>
      <c r="F48" s="29">
        <f>1+9</f>
        <v>10</v>
      </c>
      <c r="G48" s="29">
        <v>7</v>
      </c>
      <c r="H48" s="29">
        <v>8</v>
      </c>
      <c r="I48" s="113">
        <v>14</v>
      </c>
      <c r="J48" s="138">
        <v>10.9</v>
      </c>
      <c r="K48" s="138">
        <f>3+6</f>
        <v>9</v>
      </c>
      <c r="L48" s="138">
        <f>3+6</f>
        <v>9</v>
      </c>
      <c r="M48" s="20"/>
      <c r="R48" s="70" t="s">
        <v>119</v>
      </c>
    </row>
    <row r="49" spans="1:25" ht="20.100000000000001" customHeight="1" thickBot="1" x14ac:dyDescent="0.35">
      <c r="A49" s="160"/>
      <c r="B49" s="37"/>
      <c r="C49" s="172"/>
      <c r="D49" s="10" t="s">
        <v>34</v>
      </c>
      <c r="E49" s="24">
        <v>4</v>
      </c>
      <c r="F49" s="24">
        <v>5</v>
      </c>
      <c r="G49" s="24">
        <v>30</v>
      </c>
      <c r="H49" s="24">
        <f>0+16</f>
        <v>16</v>
      </c>
      <c r="I49" s="24">
        <v>6</v>
      </c>
      <c r="J49" s="136">
        <v>5.3</v>
      </c>
      <c r="K49" s="136">
        <f>4+2</f>
        <v>6</v>
      </c>
      <c r="L49" s="136">
        <v>30</v>
      </c>
      <c r="M49" s="18"/>
      <c r="R49" s="142" t="s">
        <v>116</v>
      </c>
    </row>
    <row r="50" spans="1:25" ht="20.100000000000001" customHeight="1" thickBot="1" x14ac:dyDescent="0.35">
      <c r="A50" s="161"/>
      <c r="B50" s="173" t="s">
        <v>31</v>
      </c>
      <c r="C50" s="174"/>
      <c r="D50" s="174"/>
      <c r="E50" s="41">
        <f t="shared" ref="E50:L50" si="9">E29+E35+E39+E47</f>
        <v>337</v>
      </c>
      <c r="F50" s="41">
        <f t="shared" si="9"/>
        <v>353</v>
      </c>
      <c r="G50" s="41">
        <f t="shared" si="9"/>
        <v>384</v>
      </c>
      <c r="H50" s="41">
        <f t="shared" si="9"/>
        <v>377</v>
      </c>
      <c r="I50" s="41">
        <f t="shared" si="9"/>
        <v>404</v>
      </c>
      <c r="J50" s="116">
        <f t="shared" si="9"/>
        <v>428.90000000000003</v>
      </c>
      <c r="K50" s="116">
        <f t="shared" si="9"/>
        <v>428.19999999999993</v>
      </c>
      <c r="L50" s="116">
        <f t="shared" si="9"/>
        <v>464.51499999999999</v>
      </c>
      <c r="M50" s="42"/>
    </row>
    <row r="51" spans="1:25" s="11" customFormat="1" ht="20.100000000000001" customHeight="1" thickBot="1" x14ac:dyDescent="0.35">
      <c r="A51" s="156" t="s">
        <v>32</v>
      </c>
      <c r="B51" s="157"/>
      <c r="C51" s="158"/>
      <c r="D51" s="158"/>
      <c r="E51" s="43">
        <f t="shared" ref="E51:L51" si="10">E27-E50</f>
        <v>18</v>
      </c>
      <c r="F51" s="43">
        <f t="shared" si="10"/>
        <v>26</v>
      </c>
      <c r="G51" s="43">
        <f t="shared" si="10"/>
        <v>9</v>
      </c>
      <c r="H51" s="43">
        <f t="shared" si="10"/>
        <v>0</v>
      </c>
      <c r="I51" s="43">
        <f t="shared" si="10"/>
        <v>2</v>
      </c>
      <c r="J51" s="119">
        <f t="shared" si="10"/>
        <v>0.84999999999996589</v>
      </c>
      <c r="K51" s="119">
        <f t="shared" si="10"/>
        <v>25.300000000000068</v>
      </c>
      <c r="L51" s="119">
        <f t="shared" si="10"/>
        <v>9.0849999999999795</v>
      </c>
      <c r="M51" s="44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</row>
    <row r="52" spans="1:25" ht="20.100000000000001" customHeight="1" thickBot="1" x14ac:dyDescent="0.35">
      <c r="D52" s="2"/>
      <c r="E52" s="2"/>
      <c r="F52" s="2"/>
      <c r="G52" s="2"/>
      <c r="H52" s="2"/>
      <c r="I52" s="2"/>
      <c r="J52" s="120"/>
      <c r="K52" s="120"/>
      <c r="L52" s="120"/>
      <c r="M52" s="2"/>
    </row>
    <row r="53" spans="1:25" ht="20.100000000000001" customHeight="1" thickBot="1" x14ac:dyDescent="0.35">
      <c r="A53" s="175" t="s">
        <v>93</v>
      </c>
      <c r="B53" s="176"/>
      <c r="C53" s="176"/>
      <c r="D53" s="177"/>
      <c r="E53" s="107">
        <f>SUM(E54:E55)</f>
        <v>0</v>
      </c>
      <c r="F53" s="41">
        <f t="shared" ref="F53:M53" si="11">SUM(F54:F55)</f>
        <v>0</v>
      </c>
      <c r="G53" s="41">
        <f t="shared" si="11"/>
        <v>0</v>
      </c>
      <c r="H53" s="41">
        <f t="shared" si="11"/>
        <v>0</v>
      </c>
      <c r="I53" s="41">
        <v>0</v>
      </c>
      <c r="J53" s="116">
        <f t="shared" si="11"/>
        <v>0</v>
      </c>
      <c r="K53" s="116">
        <f t="shared" si="11"/>
        <v>0</v>
      </c>
      <c r="L53" s="116">
        <f t="shared" si="11"/>
        <v>0</v>
      </c>
      <c r="M53" s="108">
        <f t="shared" si="11"/>
        <v>0</v>
      </c>
    </row>
    <row r="54" spans="1:25" ht="20.100000000000001" hidden="1" customHeight="1" x14ac:dyDescent="0.3">
      <c r="A54" s="90"/>
      <c r="B54" s="81"/>
      <c r="C54" s="81"/>
      <c r="D54" s="97" t="s">
        <v>88</v>
      </c>
      <c r="E54" s="98"/>
      <c r="F54" s="98"/>
      <c r="G54" s="98"/>
      <c r="H54" s="98"/>
      <c r="I54" s="98"/>
      <c r="J54" s="121"/>
      <c r="K54" s="121"/>
      <c r="L54" s="121"/>
      <c r="M54" s="99"/>
    </row>
    <row r="55" spans="1:25" ht="20.100000000000001" hidden="1" customHeight="1" thickBot="1" x14ac:dyDescent="0.35">
      <c r="A55" s="91"/>
      <c r="B55" s="92"/>
      <c r="C55" s="92"/>
      <c r="D55" s="94" t="s">
        <v>89</v>
      </c>
      <c r="E55" s="95"/>
      <c r="F55" s="95"/>
      <c r="G55" s="95"/>
      <c r="H55" s="95"/>
      <c r="I55" s="95"/>
      <c r="J55" s="122"/>
      <c r="K55" s="122"/>
      <c r="L55" s="122"/>
      <c r="M55" s="96"/>
    </row>
    <row r="56" spans="1:25" ht="20.100000000000001" customHeight="1" thickBot="1" x14ac:dyDescent="0.35">
      <c r="D56" s="84"/>
      <c r="E56" s="85"/>
      <c r="F56" s="85"/>
      <c r="G56" s="85"/>
      <c r="H56" s="85"/>
      <c r="I56" s="85"/>
      <c r="J56" s="123"/>
      <c r="K56" s="123"/>
      <c r="L56" s="123"/>
      <c r="M56" s="86"/>
    </row>
    <row r="57" spans="1:25" ht="20.100000000000001" customHeight="1" x14ac:dyDescent="0.3">
      <c r="A57" s="159" t="s">
        <v>27</v>
      </c>
      <c r="B57" s="178" t="s">
        <v>71</v>
      </c>
      <c r="C57" s="179"/>
      <c r="D57" s="180"/>
      <c r="E57" s="102">
        <v>42</v>
      </c>
      <c r="F57" s="102">
        <v>5</v>
      </c>
      <c r="G57" s="102"/>
      <c r="H57" s="102"/>
      <c r="I57" s="102"/>
      <c r="J57" s="124">
        <v>3</v>
      </c>
      <c r="K57" s="124"/>
      <c r="L57" s="125"/>
      <c r="M57" s="88"/>
    </row>
    <row r="58" spans="1:25" ht="20.100000000000001" customHeight="1" x14ac:dyDescent="0.3">
      <c r="A58" s="160"/>
      <c r="B58" s="75"/>
      <c r="C58" s="76"/>
      <c r="D58" s="77" t="s">
        <v>87</v>
      </c>
      <c r="E58" s="103">
        <v>5</v>
      </c>
      <c r="F58" s="103"/>
      <c r="G58" s="103"/>
      <c r="H58" s="103"/>
      <c r="I58" s="103">
        <v>3</v>
      </c>
      <c r="J58" s="126"/>
      <c r="K58" s="126"/>
      <c r="L58" s="127"/>
      <c r="M58" s="89"/>
    </row>
    <row r="59" spans="1:25" ht="20.100000000000001" customHeight="1" x14ac:dyDescent="0.3">
      <c r="A59" s="160"/>
      <c r="B59" s="151" t="s">
        <v>72</v>
      </c>
      <c r="C59" s="152"/>
      <c r="D59" s="153"/>
      <c r="E59" s="103"/>
      <c r="F59" s="103"/>
      <c r="G59" s="103">
        <v>46</v>
      </c>
      <c r="H59" s="103">
        <v>23</v>
      </c>
      <c r="I59" s="103"/>
      <c r="J59" s="126"/>
      <c r="K59" s="126"/>
      <c r="L59" s="127"/>
      <c r="M59" s="89"/>
    </row>
    <row r="60" spans="1:25" ht="20.100000000000001" customHeight="1" x14ac:dyDescent="0.3">
      <c r="A60" s="160"/>
      <c r="B60" s="151" t="s">
        <v>75</v>
      </c>
      <c r="C60" s="152"/>
      <c r="D60" s="153"/>
      <c r="E60" s="93"/>
      <c r="F60" s="93"/>
      <c r="G60" s="93"/>
      <c r="H60" s="93"/>
      <c r="I60" s="93"/>
      <c r="J60" s="128">
        <v>22</v>
      </c>
      <c r="K60" s="128"/>
      <c r="L60" s="129"/>
      <c r="M60" s="89"/>
    </row>
    <row r="61" spans="1:25" ht="20.100000000000001" customHeight="1" x14ac:dyDescent="0.3">
      <c r="A61" s="160"/>
      <c r="B61" s="151" t="s">
        <v>73</v>
      </c>
      <c r="C61" s="152"/>
      <c r="D61" s="153"/>
      <c r="E61" s="103"/>
      <c r="F61" s="103"/>
      <c r="G61" s="103"/>
      <c r="H61" s="103"/>
      <c r="I61" s="103">
        <v>5</v>
      </c>
      <c r="J61" s="126"/>
      <c r="K61" s="126"/>
      <c r="L61" s="127"/>
      <c r="M61" s="89"/>
    </row>
    <row r="62" spans="1:25" ht="20.100000000000001" customHeight="1" x14ac:dyDescent="0.3">
      <c r="A62" s="160"/>
      <c r="B62" s="154" t="s">
        <v>74</v>
      </c>
      <c r="C62" s="155"/>
      <c r="D62" s="155"/>
      <c r="E62" s="103"/>
      <c r="F62" s="103"/>
      <c r="G62" s="103"/>
      <c r="H62" s="103"/>
      <c r="I62" s="103"/>
      <c r="J62" s="126">
        <v>1.04</v>
      </c>
      <c r="K62" s="126">
        <v>7.91</v>
      </c>
      <c r="L62" s="127">
        <v>7.91</v>
      </c>
      <c r="M62" s="89"/>
    </row>
    <row r="63" spans="1:25" ht="20.100000000000001" customHeight="1" x14ac:dyDescent="0.3">
      <c r="A63" s="160"/>
      <c r="B63" s="151" t="s">
        <v>94</v>
      </c>
      <c r="C63" s="152"/>
      <c r="D63" s="153"/>
      <c r="E63" s="103"/>
      <c r="F63" s="103"/>
      <c r="G63" s="103"/>
      <c r="H63" s="103"/>
      <c r="I63" s="103"/>
      <c r="J63" s="126"/>
      <c r="K63" s="126"/>
      <c r="L63" s="127"/>
      <c r="M63" s="89"/>
    </row>
    <row r="64" spans="1:25" ht="20.100000000000001" customHeight="1" thickBot="1" x14ac:dyDescent="0.35">
      <c r="A64" s="160"/>
      <c r="B64" s="148" t="s">
        <v>100</v>
      </c>
      <c r="C64" s="149"/>
      <c r="D64" s="150"/>
      <c r="E64" s="103"/>
      <c r="F64" s="103"/>
      <c r="G64" s="103"/>
      <c r="H64" s="103"/>
      <c r="I64" s="103">
        <v>2</v>
      </c>
      <c r="J64" s="126"/>
      <c r="K64" s="126"/>
      <c r="L64" s="127"/>
      <c r="M64" s="89"/>
    </row>
    <row r="65" spans="1:25" ht="20.100000000000001" customHeight="1" thickBot="1" x14ac:dyDescent="0.35">
      <c r="A65" s="161"/>
      <c r="B65" s="173" t="s">
        <v>101</v>
      </c>
      <c r="C65" s="174"/>
      <c r="D65" s="174"/>
      <c r="E65" s="41">
        <f>SUM(E57:E64)</f>
        <v>47</v>
      </c>
      <c r="F65" s="41">
        <f t="shared" ref="F65:L65" si="12">SUM(F57:F64)</f>
        <v>5</v>
      </c>
      <c r="G65" s="41">
        <f t="shared" si="12"/>
        <v>46</v>
      </c>
      <c r="H65" s="41">
        <f t="shared" si="12"/>
        <v>23</v>
      </c>
      <c r="I65" s="41">
        <f t="shared" si="12"/>
        <v>10</v>
      </c>
      <c r="J65" s="41">
        <f t="shared" si="12"/>
        <v>26.04</v>
      </c>
      <c r="K65" s="41">
        <f t="shared" si="12"/>
        <v>7.91</v>
      </c>
      <c r="L65" s="41">
        <f t="shared" si="12"/>
        <v>7.91</v>
      </c>
      <c r="M65" s="42"/>
    </row>
    <row r="66" spans="1:25" ht="20.100000000000001" customHeight="1" thickBot="1" x14ac:dyDescent="0.35">
      <c r="D66" s="87"/>
      <c r="E66" s="82"/>
      <c r="F66" s="82"/>
      <c r="G66" s="82"/>
      <c r="H66" s="82"/>
      <c r="I66" s="82"/>
      <c r="J66" s="130"/>
      <c r="K66" s="130"/>
      <c r="L66" s="130"/>
      <c r="M66" s="83"/>
    </row>
    <row r="67" spans="1:25" s="11" customFormat="1" ht="20.100000000000001" customHeight="1" thickBot="1" x14ac:dyDescent="0.35">
      <c r="A67" s="156" t="s">
        <v>96</v>
      </c>
      <c r="B67" s="157"/>
      <c r="C67" s="158"/>
      <c r="D67" s="158"/>
      <c r="E67" s="43">
        <f>E4+E51-E65</f>
        <v>126</v>
      </c>
      <c r="F67" s="43">
        <f t="shared" ref="F67:L67" si="13">F4+F51-F65</f>
        <v>147</v>
      </c>
      <c r="G67" s="43">
        <f t="shared" si="13"/>
        <v>110</v>
      </c>
      <c r="H67" s="43">
        <f t="shared" si="13"/>
        <v>87</v>
      </c>
      <c r="I67" s="43">
        <f t="shared" si="13"/>
        <v>79</v>
      </c>
      <c r="J67" s="43">
        <f t="shared" si="13"/>
        <v>53.809999999999967</v>
      </c>
      <c r="K67" s="43">
        <f t="shared" si="13"/>
        <v>71.200000000000045</v>
      </c>
      <c r="L67" s="43">
        <f t="shared" si="13"/>
        <v>72.375000000000028</v>
      </c>
      <c r="M67" s="44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</row>
    <row r="68" spans="1:25" s="35" customFormat="1" ht="20.100000000000001" customHeight="1" x14ac:dyDescent="0.3">
      <c r="A68" s="35" t="s">
        <v>76</v>
      </c>
      <c r="E68" s="36"/>
      <c r="F68" s="36"/>
      <c r="G68" s="36"/>
      <c r="H68" s="36"/>
      <c r="I68" s="36"/>
      <c r="J68" s="36"/>
      <c r="K68" s="36"/>
      <c r="L68" s="36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</row>
    <row r="69" spans="1:25" s="35" customFormat="1" ht="20.100000000000001" customHeight="1" x14ac:dyDescent="0.3">
      <c r="A69" s="35" t="s">
        <v>77</v>
      </c>
      <c r="E69" s="36"/>
      <c r="F69" s="36"/>
      <c r="G69" s="36"/>
      <c r="H69" s="36"/>
      <c r="I69" s="36"/>
      <c r="J69" s="36"/>
      <c r="K69" s="36"/>
      <c r="L69" s="36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</row>
    <row r="70" spans="1:25" s="35" customFormat="1" ht="20.100000000000001" customHeight="1" x14ac:dyDescent="0.3">
      <c r="E70" s="36"/>
      <c r="F70" s="36"/>
      <c r="G70" s="36"/>
      <c r="H70" s="36"/>
      <c r="I70" s="36"/>
      <c r="J70" s="36"/>
      <c r="K70" s="36"/>
      <c r="L70" s="36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</row>
    <row r="71" spans="1:25" s="73" customFormat="1" ht="20.100000000000001" customHeight="1" x14ac:dyDescent="0.3">
      <c r="A71" s="73" t="s">
        <v>79</v>
      </c>
      <c r="E71" s="74"/>
      <c r="F71" s="74"/>
      <c r="G71" s="74"/>
      <c r="H71" s="74"/>
      <c r="I71" s="74"/>
      <c r="J71" s="74"/>
      <c r="K71" s="74"/>
      <c r="L71" s="74"/>
      <c r="M71" s="74"/>
    </row>
    <row r="72" spans="1:25" s="73" customFormat="1" ht="20.100000000000001" customHeight="1" x14ac:dyDescent="0.3">
      <c r="A72" s="73" t="s">
        <v>80</v>
      </c>
      <c r="E72" s="74"/>
      <c r="F72" s="74"/>
      <c r="G72" s="74"/>
      <c r="H72" s="74"/>
      <c r="I72" s="74"/>
      <c r="J72" s="74"/>
      <c r="K72" s="74"/>
      <c r="L72" s="74"/>
      <c r="M72" s="74"/>
    </row>
    <row r="73" spans="1:25" s="73" customFormat="1" ht="20.100000000000001" customHeight="1" x14ac:dyDescent="0.3">
      <c r="A73" s="73" t="s">
        <v>81</v>
      </c>
      <c r="E73" s="74"/>
      <c r="F73" s="74"/>
      <c r="G73" s="74"/>
      <c r="H73" s="74"/>
      <c r="I73" s="74"/>
      <c r="J73" s="74"/>
      <c r="K73" s="74"/>
      <c r="L73" s="74"/>
      <c r="M73" s="74"/>
    </row>
    <row r="74" spans="1:25" s="73" customFormat="1" ht="20.100000000000001" customHeight="1" x14ac:dyDescent="0.3">
      <c r="A74" s="73" t="s">
        <v>82</v>
      </c>
      <c r="E74" s="74"/>
      <c r="F74" s="74"/>
      <c r="G74" s="74"/>
      <c r="H74" s="74"/>
      <c r="I74" s="74"/>
      <c r="J74" s="74"/>
      <c r="K74" s="74"/>
      <c r="L74" s="74"/>
      <c r="M74" s="74"/>
    </row>
    <row r="75" spans="1:25" s="11" customFormat="1" ht="20.100000000000001" customHeight="1" x14ac:dyDescent="0.3">
      <c r="E75" s="16"/>
      <c r="F75" s="16"/>
      <c r="G75" s="16"/>
      <c r="H75" s="16"/>
      <c r="I75" s="16"/>
      <c r="J75" s="16"/>
      <c r="K75" s="16"/>
      <c r="L75" s="16"/>
      <c r="M75" s="16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</row>
  </sheetData>
  <mergeCells count="34">
    <mergeCell ref="A1:M2"/>
    <mergeCell ref="A4:D4"/>
    <mergeCell ref="C10:C12"/>
    <mergeCell ref="B8:D8"/>
    <mergeCell ref="B27:D27"/>
    <mergeCell ref="L3:M3"/>
    <mergeCell ref="C9:D9"/>
    <mergeCell ref="A9:A27"/>
    <mergeCell ref="C13:D13"/>
    <mergeCell ref="C14:C20"/>
    <mergeCell ref="C23:D23"/>
    <mergeCell ref="C24:C26"/>
    <mergeCell ref="A67:D67"/>
    <mergeCell ref="A29:A50"/>
    <mergeCell ref="C29:D29"/>
    <mergeCell ref="C30:C34"/>
    <mergeCell ref="C35:D35"/>
    <mergeCell ref="C36:C38"/>
    <mergeCell ref="C39:D39"/>
    <mergeCell ref="C40:C45"/>
    <mergeCell ref="C47:D47"/>
    <mergeCell ref="C48:C49"/>
    <mergeCell ref="B50:D50"/>
    <mergeCell ref="A51:D51"/>
    <mergeCell ref="A57:A65"/>
    <mergeCell ref="A53:D53"/>
    <mergeCell ref="B57:D57"/>
    <mergeCell ref="B65:D65"/>
    <mergeCell ref="B64:D64"/>
    <mergeCell ref="B59:D59"/>
    <mergeCell ref="B61:D61"/>
    <mergeCell ref="B62:D62"/>
    <mergeCell ref="B60:D60"/>
    <mergeCell ref="B63:D63"/>
  </mergeCells>
  <phoneticPr fontId="2" type="noConversion"/>
  <pageMargins left="0.19685039370078741" right="0.19685039370078741" top="0.59055118110236227" bottom="0.39370078740157483" header="0.19685039370078741" footer="0.19685039370078741"/>
  <pageSetup paperSize="9" scale="56" orientation="portrait" cellComments="asDisplayed" r:id="rId1"/>
  <headerFooter>
    <oddFooter>&amp;N페이지 중 &amp;P페이지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7E234-2EE4-4ADA-B16F-3C905E935AC2}">
  <dimension ref="A1:M43"/>
  <sheetViews>
    <sheetView zoomScale="115" zoomScaleNormal="115" zoomScaleSheetLayoutView="115"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J13" sqref="J13"/>
    </sheetView>
  </sheetViews>
  <sheetFormatPr defaultColWidth="9" defaultRowHeight="20.100000000000001" customHeight="1" x14ac:dyDescent="0.3"/>
  <cols>
    <col min="1" max="1" width="5" style="1" customWidth="1"/>
    <col min="2" max="3" width="2.625" style="1" customWidth="1"/>
    <col min="4" max="4" width="27" style="1" customWidth="1"/>
    <col min="5" max="12" width="8.625" style="16" customWidth="1"/>
    <col min="13" max="13" width="7.25" style="14" customWidth="1"/>
    <col min="14" max="22" width="9.625" style="1" customWidth="1"/>
    <col min="23" max="16384" width="9" style="1"/>
  </cols>
  <sheetData>
    <row r="1" spans="1:13" s="13" customFormat="1" ht="20.100000000000001" customHeight="1" x14ac:dyDescent="0.3">
      <c r="A1" s="201" t="s">
        <v>78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</row>
    <row r="2" spans="1:13" s="13" customFormat="1" ht="20.100000000000001" customHeight="1" x14ac:dyDescent="0.3"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s="46" customFormat="1" ht="20.100000000000001" customHeight="1" x14ac:dyDescent="0.3">
      <c r="A3" s="31"/>
      <c r="C3" s="47"/>
      <c r="D3" s="47"/>
      <c r="E3" s="47"/>
      <c r="F3" s="47"/>
      <c r="G3" s="47"/>
      <c r="H3" s="47"/>
      <c r="I3" s="47"/>
      <c r="J3" s="47"/>
      <c r="K3" s="47"/>
      <c r="L3" s="188" t="s">
        <v>20</v>
      </c>
      <c r="M3" s="188"/>
    </row>
    <row r="4" spans="1:13" ht="20.100000000000001" customHeight="1" x14ac:dyDescent="0.3">
      <c r="A4" s="183" t="s">
        <v>33</v>
      </c>
      <c r="B4" s="202"/>
      <c r="C4" s="202"/>
      <c r="D4" s="203"/>
      <c r="E4" s="40">
        <v>0</v>
      </c>
      <c r="F4" s="40">
        <f>E38</f>
        <v>0</v>
      </c>
      <c r="G4" s="40">
        <f t="shared" ref="G4:L4" si="0">F38</f>
        <v>0</v>
      </c>
      <c r="H4" s="40">
        <f t="shared" si="0"/>
        <v>0</v>
      </c>
      <c r="I4" s="40">
        <f t="shared" si="0"/>
        <v>0</v>
      </c>
      <c r="J4" s="40">
        <f t="shared" si="0"/>
        <v>0</v>
      </c>
      <c r="K4" s="40">
        <f t="shared" si="0"/>
        <v>0</v>
      </c>
      <c r="L4" s="40">
        <f t="shared" si="0"/>
        <v>0</v>
      </c>
      <c r="M4" s="40"/>
    </row>
    <row r="5" spans="1:13" ht="20.100000000000001" customHeight="1" x14ac:dyDescent="0.3"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s="2" customFormat="1" ht="20.100000000000001" customHeight="1" thickBot="1" x14ac:dyDescent="0.35">
      <c r="A6" s="38" t="s">
        <v>6</v>
      </c>
      <c r="B6" s="186" t="s">
        <v>26</v>
      </c>
      <c r="C6" s="204"/>
      <c r="D6" s="205"/>
      <c r="E6" s="48" t="s">
        <v>19</v>
      </c>
      <c r="F6" s="48" t="s">
        <v>18</v>
      </c>
      <c r="G6" s="48" t="s">
        <v>17</v>
      </c>
      <c r="H6" s="48" t="s">
        <v>16</v>
      </c>
      <c r="I6" s="48" t="s">
        <v>98</v>
      </c>
      <c r="J6" s="48" t="s">
        <v>61</v>
      </c>
      <c r="K6" s="48" t="s">
        <v>62</v>
      </c>
      <c r="L6" s="48" t="s">
        <v>63</v>
      </c>
      <c r="M6" s="49" t="s">
        <v>0</v>
      </c>
    </row>
    <row r="7" spans="1:13" ht="20.100000000000001" customHeight="1" thickBot="1" x14ac:dyDescent="0.35">
      <c r="A7" s="159" t="s">
        <v>43</v>
      </c>
      <c r="B7" s="37"/>
      <c r="C7" s="189" t="s">
        <v>44</v>
      </c>
      <c r="D7" s="190"/>
      <c r="E7" s="51">
        <f t="shared" ref="E7:L7" si="1">SUM(E8:E10)</f>
        <v>50</v>
      </c>
      <c r="F7" s="51">
        <f t="shared" si="1"/>
        <v>57</v>
      </c>
      <c r="G7" s="51">
        <f t="shared" si="1"/>
        <v>59</v>
      </c>
      <c r="H7" s="51">
        <f t="shared" si="1"/>
        <v>65</v>
      </c>
      <c r="I7" s="51">
        <f t="shared" si="1"/>
        <v>64</v>
      </c>
      <c r="J7" s="51">
        <f t="shared" si="1"/>
        <v>66</v>
      </c>
      <c r="K7" s="51">
        <f t="shared" si="1"/>
        <v>67</v>
      </c>
      <c r="L7" s="51">
        <f t="shared" si="1"/>
        <v>68</v>
      </c>
      <c r="M7" s="52"/>
    </row>
    <row r="8" spans="1:13" ht="20.100000000000001" customHeight="1" x14ac:dyDescent="0.3">
      <c r="A8" s="160"/>
      <c r="B8" s="37"/>
      <c r="C8" s="172"/>
      <c r="D8" s="60" t="s">
        <v>45</v>
      </c>
      <c r="E8" s="105">
        <v>46</v>
      </c>
      <c r="F8" s="105">
        <v>55</v>
      </c>
      <c r="G8" s="105">
        <v>56</v>
      </c>
      <c r="H8" s="105">
        <v>64</v>
      </c>
      <c r="I8" s="105">
        <v>62</v>
      </c>
      <c r="J8" s="105">
        <v>64</v>
      </c>
      <c r="K8" s="105">
        <v>65</v>
      </c>
      <c r="L8" s="105">
        <v>66</v>
      </c>
      <c r="M8" s="58"/>
    </row>
    <row r="9" spans="1:13" ht="20.100000000000001" customHeight="1" x14ac:dyDescent="0.3">
      <c r="A9" s="160"/>
      <c r="B9" s="37"/>
      <c r="C9" s="172"/>
      <c r="D9" s="4" t="s">
        <v>91</v>
      </c>
      <c r="E9" s="78">
        <v>4</v>
      </c>
      <c r="F9" s="78">
        <v>2</v>
      </c>
      <c r="G9" s="78">
        <v>3</v>
      </c>
      <c r="H9" s="78">
        <v>1</v>
      </c>
      <c r="I9" s="78">
        <v>2</v>
      </c>
      <c r="J9" s="78">
        <v>2</v>
      </c>
      <c r="K9" s="78">
        <v>2</v>
      </c>
      <c r="L9" s="78">
        <v>2</v>
      </c>
      <c r="M9" s="18"/>
    </row>
    <row r="10" spans="1:13" ht="20.100000000000001" customHeight="1" thickBot="1" x14ac:dyDescent="0.35">
      <c r="A10" s="160"/>
      <c r="B10" s="37"/>
      <c r="C10" s="184"/>
      <c r="D10" s="26"/>
      <c r="E10" s="27"/>
      <c r="F10" s="27"/>
      <c r="G10" s="27"/>
      <c r="H10" s="27"/>
      <c r="I10" s="27"/>
      <c r="J10" s="27"/>
      <c r="K10" s="27"/>
      <c r="L10" s="27"/>
      <c r="M10" s="21"/>
    </row>
    <row r="11" spans="1:13" ht="20.100000000000001" customHeight="1" thickBot="1" x14ac:dyDescent="0.35">
      <c r="A11" s="160"/>
      <c r="B11" s="37"/>
      <c r="C11" s="189" t="s">
        <v>46</v>
      </c>
      <c r="D11" s="190"/>
      <c r="E11" s="51">
        <f t="shared" ref="E11:L11" si="2">SUM(E12:E14)</f>
        <v>472</v>
      </c>
      <c r="F11" s="51">
        <f t="shared" si="2"/>
        <v>585</v>
      </c>
      <c r="G11" s="51">
        <f t="shared" si="2"/>
        <v>613</v>
      </c>
      <c r="H11" s="51">
        <f t="shared" si="2"/>
        <v>735</v>
      </c>
      <c r="I11" s="51">
        <f t="shared" si="2"/>
        <v>835</v>
      </c>
      <c r="J11" s="51">
        <f t="shared" si="2"/>
        <v>851</v>
      </c>
      <c r="K11" s="51">
        <f t="shared" si="2"/>
        <v>875.78</v>
      </c>
      <c r="L11" s="51">
        <f t="shared" si="2"/>
        <v>901.30340000000001</v>
      </c>
      <c r="M11" s="52"/>
    </row>
    <row r="12" spans="1:13" ht="20.100000000000001" customHeight="1" x14ac:dyDescent="0.3">
      <c r="A12" s="160"/>
      <c r="B12" s="37"/>
      <c r="C12" s="193"/>
      <c r="D12" s="4" t="s">
        <v>47</v>
      </c>
      <c r="E12" s="24">
        <v>459</v>
      </c>
      <c r="F12" s="24">
        <v>565</v>
      </c>
      <c r="G12" s="24">
        <v>595</v>
      </c>
      <c r="H12" s="24">
        <v>717</v>
      </c>
      <c r="I12" s="24">
        <v>818</v>
      </c>
      <c r="J12" s="24">
        <v>826</v>
      </c>
      <c r="K12" s="24">
        <f>826*1.03</f>
        <v>850.78</v>
      </c>
      <c r="L12" s="24">
        <f>K12*1.03</f>
        <v>876.30340000000001</v>
      </c>
      <c r="M12" s="18"/>
    </row>
    <row r="13" spans="1:13" ht="20.100000000000001" customHeight="1" x14ac:dyDescent="0.3">
      <c r="A13" s="160"/>
      <c r="B13" s="37"/>
      <c r="C13" s="206"/>
      <c r="D13" s="4" t="s">
        <v>99</v>
      </c>
      <c r="E13" s="24">
        <v>13</v>
      </c>
      <c r="F13" s="24">
        <v>20</v>
      </c>
      <c r="G13" s="24">
        <v>18</v>
      </c>
      <c r="H13" s="24">
        <v>18</v>
      </c>
      <c r="I13" s="24">
        <v>17</v>
      </c>
      <c r="J13" s="24">
        <v>25</v>
      </c>
      <c r="K13" s="24">
        <v>25</v>
      </c>
      <c r="L13" s="24">
        <v>25</v>
      </c>
      <c r="M13" s="18"/>
    </row>
    <row r="14" spans="1:13" ht="20.100000000000001" customHeight="1" thickBot="1" x14ac:dyDescent="0.35">
      <c r="A14" s="160"/>
      <c r="B14" s="37"/>
      <c r="C14" s="194"/>
      <c r="D14" s="26"/>
      <c r="E14" s="27"/>
      <c r="F14" s="27"/>
      <c r="G14" s="27"/>
      <c r="H14" s="27"/>
      <c r="I14" s="27"/>
      <c r="J14" s="27"/>
      <c r="K14" s="27"/>
      <c r="L14" s="27"/>
      <c r="M14" s="21"/>
    </row>
    <row r="15" spans="1:13" ht="20.100000000000001" customHeight="1" thickBot="1" x14ac:dyDescent="0.35">
      <c r="A15" s="160"/>
      <c r="B15" s="37"/>
      <c r="C15" s="189" t="s">
        <v>48</v>
      </c>
      <c r="D15" s="190"/>
      <c r="E15" s="51">
        <f t="shared" ref="E15:L15" si="3">SUM(E16:E17)</f>
        <v>52</v>
      </c>
      <c r="F15" s="51">
        <f t="shared" si="3"/>
        <v>56</v>
      </c>
      <c r="G15" s="51">
        <f t="shared" si="3"/>
        <v>59</v>
      </c>
      <c r="H15" s="51">
        <f t="shared" si="3"/>
        <v>62</v>
      </c>
      <c r="I15" s="51">
        <f t="shared" si="3"/>
        <v>68</v>
      </c>
      <c r="J15" s="51">
        <f t="shared" si="3"/>
        <v>72</v>
      </c>
      <c r="K15" s="51">
        <f t="shared" si="3"/>
        <v>74.16</v>
      </c>
      <c r="L15" s="51">
        <f t="shared" si="3"/>
        <v>76.384799999999998</v>
      </c>
      <c r="M15" s="52"/>
    </row>
    <row r="16" spans="1:13" ht="20.100000000000001" customHeight="1" x14ac:dyDescent="0.3">
      <c r="A16" s="160"/>
      <c r="B16" s="37"/>
      <c r="C16" s="193"/>
      <c r="D16" s="60" t="s">
        <v>48</v>
      </c>
      <c r="E16" s="57">
        <v>52</v>
      </c>
      <c r="F16" s="57">
        <v>56</v>
      </c>
      <c r="G16" s="57">
        <v>59</v>
      </c>
      <c r="H16" s="57">
        <v>62</v>
      </c>
      <c r="I16" s="57">
        <v>68</v>
      </c>
      <c r="J16" s="57">
        <v>72</v>
      </c>
      <c r="K16" s="57">
        <f>J16*1.03</f>
        <v>74.16</v>
      </c>
      <c r="L16" s="57">
        <f>K16*1.03</f>
        <v>76.384799999999998</v>
      </c>
      <c r="M16" s="58"/>
    </row>
    <row r="17" spans="1:13" ht="20.100000000000001" customHeight="1" thickBot="1" x14ac:dyDescent="0.35">
      <c r="A17" s="160"/>
      <c r="B17" s="37"/>
      <c r="C17" s="194"/>
      <c r="D17" s="26"/>
      <c r="E17" s="27"/>
      <c r="F17" s="27"/>
      <c r="G17" s="27"/>
      <c r="H17" s="27"/>
      <c r="I17" s="27"/>
      <c r="J17" s="27"/>
      <c r="K17" s="27"/>
      <c r="L17" s="27"/>
      <c r="M17" s="21"/>
    </row>
    <row r="18" spans="1:13" ht="20.100000000000001" customHeight="1" thickBot="1" x14ac:dyDescent="0.35">
      <c r="A18" s="160"/>
      <c r="B18" s="37"/>
      <c r="C18" s="189" t="s">
        <v>64</v>
      </c>
      <c r="D18" s="190"/>
      <c r="E18" s="51">
        <f t="shared" ref="E18:L18" si="4">SUM(E19:E20)</f>
        <v>0</v>
      </c>
      <c r="F18" s="51">
        <f t="shared" si="4"/>
        <v>0</v>
      </c>
      <c r="G18" s="51">
        <f t="shared" si="4"/>
        <v>0</v>
      </c>
      <c r="H18" s="51">
        <f t="shared" si="4"/>
        <v>0</v>
      </c>
      <c r="I18" s="51">
        <f t="shared" si="4"/>
        <v>33</v>
      </c>
      <c r="J18" s="51">
        <f t="shared" si="4"/>
        <v>0</v>
      </c>
      <c r="K18" s="51">
        <f t="shared" si="4"/>
        <v>0</v>
      </c>
      <c r="L18" s="51">
        <f t="shared" si="4"/>
        <v>0</v>
      </c>
      <c r="M18" s="52"/>
    </row>
    <row r="19" spans="1:13" ht="20.100000000000001" customHeight="1" x14ac:dyDescent="0.3">
      <c r="A19" s="160"/>
      <c r="B19" s="37"/>
      <c r="C19" s="193"/>
      <c r="D19" s="60" t="s">
        <v>65</v>
      </c>
      <c r="E19" s="57"/>
      <c r="F19" s="57"/>
      <c r="G19" s="57"/>
      <c r="H19" s="57"/>
      <c r="I19" s="65">
        <v>33</v>
      </c>
      <c r="J19" s="57"/>
      <c r="K19" s="57"/>
      <c r="L19" s="57"/>
      <c r="M19" s="58"/>
    </row>
    <row r="20" spans="1:13" ht="20.100000000000001" customHeight="1" thickBot="1" x14ac:dyDescent="0.35">
      <c r="A20" s="160"/>
      <c r="B20" s="37"/>
      <c r="C20" s="194"/>
      <c r="D20" s="26"/>
      <c r="E20" s="27"/>
      <c r="F20" s="27"/>
      <c r="G20" s="27"/>
      <c r="H20" s="27"/>
      <c r="I20" s="27"/>
      <c r="J20" s="27"/>
      <c r="K20" s="27"/>
      <c r="L20" s="27"/>
      <c r="M20" s="21"/>
    </row>
    <row r="21" spans="1:13" s="11" customFormat="1" ht="20.100000000000001" customHeight="1" thickBot="1" x14ac:dyDescent="0.35">
      <c r="A21" s="161"/>
      <c r="B21" s="207" t="s">
        <v>49</v>
      </c>
      <c r="C21" s="207"/>
      <c r="D21" s="208"/>
      <c r="E21" s="53">
        <f>E7+E11+E15+E18</f>
        <v>574</v>
      </c>
      <c r="F21" s="53">
        <f t="shared" ref="F21:L21" si="5">F7+F11+F15+F18</f>
        <v>698</v>
      </c>
      <c r="G21" s="53">
        <f t="shared" si="5"/>
        <v>731</v>
      </c>
      <c r="H21" s="53">
        <f t="shared" si="5"/>
        <v>862</v>
      </c>
      <c r="I21" s="53">
        <f t="shared" si="5"/>
        <v>1000</v>
      </c>
      <c r="J21" s="53">
        <f t="shared" si="5"/>
        <v>989</v>
      </c>
      <c r="K21" s="53">
        <f t="shared" si="5"/>
        <v>1016.9399999999999</v>
      </c>
      <c r="L21" s="53">
        <f t="shared" si="5"/>
        <v>1045.6882000000001</v>
      </c>
      <c r="M21" s="54"/>
    </row>
    <row r="22" spans="1:13" ht="20.100000000000001" customHeight="1" thickBot="1" x14ac:dyDescent="0.35"/>
    <row r="23" spans="1:13" ht="20.100000000000001" customHeight="1" thickBot="1" x14ac:dyDescent="0.35">
      <c r="A23" s="159" t="s">
        <v>50</v>
      </c>
      <c r="B23" s="62"/>
      <c r="C23" s="195" t="s">
        <v>51</v>
      </c>
      <c r="D23" s="196"/>
      <c r="E23" s="55">
        <f t="shared" ref="E23:L23" si="6">SUM(E24:E25)</f>
        <v>50</v>
      </c>
      <c r="F23" s="55">
        <f t="shared" si="6"/>
        <v>57</v>
      </c>
      <c r="G23" s="55">
        <f t="shared" si="6"/>
        <v>59</v>
      </c>
      <c r="H23" s="55">
        <f t="shared" si="6"/>
        <v>65</v>
      </c>
      <c r="I23" s="55">
        <f t="shared" si="6"/>
        <v>64</v>
      </c>
      <c r="J23" s="55">
        <f t="shared" si="6"/>
        <v>66</v>
      </c>
      <c r="K23" s="55">
        <f t="shared" si="6"/>
        <v>67</v>
      </c>
      <c r="L23" s="55">
        <f t="shared" si="6"/>
        <v>68</v>
      </c>
      <c r="M23" s="56"/>
    </row>
    <row r="24" spans="1:13" ht="20.100000000000001" customHeight="1" x14ac:dyDescent="0.3">
      <c r="A24" s="160"/>
      <c r="B24" s="37"/>
      <c r="C24" s="197"/>
      <c r="D24" s="60" t="s">
        <v>51</v>
      </c>
      <c r="E24" s="105">
        <v>50</v>
      </c>
      <c r="F24" s="105">
        <v>57</v>
      </c>
      <c r="G24" s="105">
        <v>59</v>
      </c>
      <c r="H24" s="105">
        <v>65</v>
      </c>
      <c r="I24" s="105">
        <v>64</v>
      </c>
      <c r="J24" s="105">
        <v>66</v>
      </c>
      <c r="K24" s="57">
        <v>67</v>
      </c>
      <c r="L24" s="57">
        <v>68</v>
      </c>
      <c r="M24" s="58"/>
    </row>
    <row r="25" spans="1:13" ht="20.100000000000001" customHeight="1" thickBot="1" x14ac:dyDescent="0.35">
      <c r="A25" s="160"/>
      <c r="B25" s="37"/>
      <c r="C25" s="198"/>
      <c r="D25" s="4"/>
      <c r="E25" s="24"/>
      <c r="F25" s="24"/>
      <c r="G25" s="24"/>
      <c r="H25" s="24"/>
      <c r="I25" s="24"/>
      <c r="J25" s="24"/>
      <c r="K25" s="24"/>
      <c r="L25" s="24"/>
      <c r="M25" s="18"/>
    </row>
    <row r="26" spans="1:13" ht="20.100000000000001" customHeight="1" thickBot="1" x14ac:dyDescent="0.35">
      <c r="A26" s="160"/>
      <c r="B26" s="37"/>
      <c r="C26" s="195" t="s">
        <v>52</v>
      </c>
      <c r="D26" s="196"/>
      <c r="E26" s="55">
        <f t="shared" ref="E26:L26" si="7">SUM(E27:E29)</f>
        <v>472</v>
      </c>
      <c r="F26" s="55">
        <f t="shared" si="7"/>
        <v>585</v>
      </c>
      <c r="G26" s="55">
        <f t="shared" si="7"/>
        <v>613</v>
      </c>
      <c r="H26" s="55">
        <f t="shared" si="7"/>
        <v>735</v>
      </c>
      <c r="I26" s="55">
        <f t="shared" si="7"/>
        <v>835</v>
      </c>
      <c r="J26" s="55">
        <f t="shared" si="7"/>
        <v>851</v>
      </c>
      <c r="K26" s="55">
        <f t="shared" si="7"/>
        <v>875.78</v>
      </c>
      <c r="L26" s="55">
        <f t="shared" si="7"/>
        <v>901.30340000000001</v>
      </c>
      <c r="M26" s="56"/>
    </row>
    <row r="27" spans="1:13" ht="20.100000000000001" customHeight="1" x14ac:dyDescent="0.3">
      <c r="A27" s="160"/>
      <c r="B27" s="37"/>
      <c r="C27" s="172"/>
      <c r="D27" s="60" t="s">
        <v>47</v>
      </c>
      <c r="E27" s="57">
        <v>459</v>
      </c>
      <c r="F27" s="57">
        <v>565</v>
      </c>
      <c r="G27" s="57">
        <v>595</v>
      </c>
      <c r="H27" s="57">
        <v>717</v>
      </c>
      <c r="I27" s="57">
        <v>818</v>
      </c>
      <c r="J27" s="57">
        <v>826</v>
      </c>
      <c r="K27" s="24">
        <f>826*1.03</f>
        <v>850.78</v>
      </c>
      <c r="L27" s="24">
        <f>K27*1.03</f>
        <v>876.30340000000001</v>
      </c>
      <c r="M27" s="58"/>
    </row>
    <row r="28" spans="1:13" ht="20.100000000000001" customHeight="1" x14ac:dyDescent="0.3">
      <c r="A28" s="160"/>
      <c r="B28" s="37"/>
      <c r="C28" s="172"/>
      <c r="D28" s="60" t="s">
        <v>53</v>
      </c>
      <c r="E28" s="57">
        <v>13</v>
      </c>
      <c r="F28" s="57">
        <v>20</v>
      </c>
      <c r="G28" s="57">
        <v>18</v>
      </c>
      <c r="H28" s="57">
        <v>18</v>
      </c>
      <c r="I28" s="57">
        <v>17</v>
      </c>
      <c r="J28" s="57">
        <v>25</v>
      </c>
      <c r="K28" s="57">
        <v>25</v>
      </c>
      <c r="L28" s="57">
        <v>25</v>
      </c>
      <c r="M28" s="58"/>
    </row>
    <row r="29" spans="1:13" ht="20.100000000000001" customHeight="1" thickBot="1" x14ac:dyDescent="0.35">
      <c r="A29" s="160"/>
      <c r="B29" s="37"/>
      <c r="C29" s="184"/>
      <c r="D29" s="26"/>
      <c r="E29" s="27"/>
      <c r="F29" s="27"/>
      <c r="G29" s="27"/>
      <c r="H29" s="27"/>
      <c r="I29" s="27"/>
      <c r="J29" s="27"/>
      <c r="K29" s="27"/>
      <c r="L29" s="27"/>
      <c r="M29" s="21"/>
    </row>
    <row r="30" spans="1:13" ht="20.100000000000001" customHeight="1" thickBot="1" x14ac:dyDescent="0.35">
      <c r="A30" s="160"/>
      <c r="B30" s="37"/>
      <c r="C30" s="195" t="s">
        <v>54</v>
      </c>
      <c r="D30" s="196"/>
      <c r="E30" s="55">
        <f t="shared" ref="E30:L30" si="8">SUM(E31:E31)</f>
        <v>52</v>
      </c>
      <c r="F30" s="55">
        <f t="shared" si="8"/>
        <v>56</v>
      </c>
      <c r="G30" s="55">
        <f t="shared" si="8"/>
        <v>59</v>
      </c>
      <c r="H30" s="55">
        <f t="shared" si="8"/>
        <v>62</v>
      </c>
      <c r="I30" s="55">
        <f t="shared" si="8"/>
        <v>68</v>
      </c>
      <c r="J30" s="55">
        <f t="shared" si="8"/>
        <v>72</v>
      </c>
      <c r="K30" s="55">
        <f t="shared" si="8"/>
        <v>74.16</v>
      </c>
      <c r="L30" s="55">
        <f t="shared" si="8"/>
        <v>76.384799999999998</v>
      </c>
      <c r="M30" s="56"/>
    </row>
    <row r="31" spans="1:13" ht="20.100000000000001" customHeight="1" thickBot="1" x14ac:dyDescent="0.35">
      <c r="A31" s="160"/>
      <c r="B31" s="37"/>
      <c r="C31" s="45"/>
      <c r="D31" s="59" t="s">
        <v>55</v>
      </c>
      <c r="E31" s="57">
        <v>52</v>
      </c>
      <c r="F31" s="57">
        <v>56</v>
      </c>
      <c r="G31" s="57">
        <v>59</v>
      </c>
      <c r="H31" s="57">
        <v>62</v>
      </c>
      <c r="I31" s="57">
        <v>68</v>
      </c>
      <c r="J31" s="57">
        <v>72</v>
      </c>
      <c r="K31" s="57">
        <f>J31*1.03</f>
        <v>74.16</v>
      </c>
      <c r="L31" s="57">
        <f>K31*1.03</f>
        <v>76.384799999999998</v>
      </c>
      <c r="M31" s="58"/>
    </row>
    <row r="32" spans="1:13" ht="20.100000000000001" customHeight="1" thickBot="1" x14ac:dyDescent="0.35">
      <c r="A32" s="160"/>
      <c r="B32" s="37"/>
      <c r="C32" s="195" t="s">
        <v>66</v>
      </c>
      <c r="D32" s="196"/>
      <c r="E32" s="55">
        <f t="shared" ref="E32:L32" si="9">SUM(E33:E34)</f>
        <v>0</v>
      </c>
      <c r="F32" s="55">
        <f t="shared" si="9"/>
        <v>0</v>
      </c>
      <c r="G32" s="55">
        <f t="shared" si="9"/>
        <v>0</v>
      </c>
      <c r="H32" s="55">
        <f t="shared" si="9"/>
        <v>0</v>
      </c>
      <c r="I32" s="55">
        <f t="shared" si="9"/>
        <v>33</v>
      </c>
      <c r="J32" s="55">
        <f t="shared" si="9"/>
        <v>0</v>
      </c>
      <c r="K32" s="55">
        <f t="shared" si="9"/>
        <v>0</v>
      </c>
      <c r="L32" s="55">
        <f t="shared" si="9"/>
        <v>0</v>
      </c>
      <c r="M32" s="56"/>
    </row>
    <row r="33" spans="1:13" ht="20.100000000000001" customHeight="1" x14ac:dyDescent="0.3">
      <c r="A33" s="160"/>
      <c r="B33" s="37"/>
      <c r="C33" s="172"/>
      <c r="D33" s="59" t="s">
        <v>65</v>
      </c>
      <c r="E33" s="57"/>
      <c r="F33" s="57"/>
      <c r="G33" s="57"/>
      <c r="H33" s="57"/>
      <c r="I33" s="105">
        <v>33</v>
      </c>
      <c r="J33" s="57"/>
      <c r="K33" s="57"/>
      <c r="L33" s="57"/>
      <c r="M33" s="58"/>
    </row>
    <row r="34" spans="1:13" ht="20.100000000000001" customHeight="1" thickBot="1" x14ac:dyDescent="0.35">
      <c r="A34" s="160"/>
      <c r="B34" s="37"/>
      <c r="C34" s="184"/>
      <c r="D34" s="26"/>
      <c r="E34" s="27"/>
      <c r="F34" s="27"/>
      <c r="G34" s="27"/>
      <c r="H34" s="27"/>
      <c r="I34" s="27"/>
      <c r="J34" s="27"/>
      <c r="K34" s="27"/>
      <c r="L34" s="27"/>
      <c r="M34" s="21"/>
    </row>
    <row r="35" spans="1:13" s="11" customFormat="1" ht="20.100000000000001" customHeight="1" thickBot="1" x14ac:dyDescent="0.35">
      <c r="A35" s="161"/>
      <c r="B35" s="199" t="s">
        <v>56</v>
      </c>
      <c r="C35" s="199"/>
      <c r="D35" s="200"/>
      <c r="E35" s="53">
        <f>E23+E26+E30+E32</f>
        <v>574</v>
      </c>
      <c r="F35" s="53">
        <f t="shared" ref="F35:L35" si="10">F23+F26+F30+F32</f>
        <v>698</v>
      </c>
      <c r="G35" s="53">
        <f t="shared" si="10"/>
        <v>731</v>
      </c>
      <c r="H35" s="53">
        <f t="shared" si="10"/>
        <v>862</v>
      </c>
      <c r="I35" s="53">
        <f t="shared" si="10"/>
        <v>1000</v>
      </c>
      <c r="J35" s="53">
        <f t="shared" si="10"/>
        <v>989</v>
      </c>
      <c r="K35" s="53">
        <f t="shared" si="10"/>
        <v>1016.9399999999999</v>
      </c>
      <c r="L35" s="53">
        <f t="shared" si="10"/>
        <v>1045.6882000000001</v>
      </c>
      <c r="M35" s="54"/>
    </row>
    <row r="36" spans="1:13" s="11" customFormat="1" ht="20.100000000000001" customHeight="1" thickBot="1" x14ac:dyDescent="0.35">
      <c r="A36" s="191" t="s">
        <v>32</v>
      </c>
      <c r="B36" s="192"/>
      <c r="C36" s="192"/>
      <c r="D36" s="157"/>
      <c r="E36" s="43">
        <f t="shared" ref="E36:L36" si="11">E21-E35</f>
        <v>0</v>
      </c>
      <c r="F36" s="43">
        <f t="shared" si="11"/>
        <v>0</v>
      </c>
      <c r="G36" s="43">
        <f t="shared" si="11"/>
        <v>0</v>
      </c>
      <c r="H36" s="43">
        <f t="shared" si="11"/>
        <v>0</v>
      </c>
      <c r="I36" s="43">
        <f t="shared" si="11"/>
        <v>0</v>
      </c>
      <c r="J36" s="43">
        <f t="shared" si="11"/>
        <v>0</v>
      </c>
      <c r="K36" s="43">
        <f t="shared" si="11"/>
        <v>0</v>
      </c>
      <c r="L36" s="43">
        <f t="shared" si="11"/>
        <v>0</v>
      </c>
      <c r="M36" s="44"/>
    </row>
    <row r="37" spans="1:13" ht="20.100000000000001" customHeight="1" thickBot="1" x14ac:dyDescent="0.35"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s="11" customFormat="1" ht="20.100000000000001" customHeight="1" thickBot="1" x14ac:dyDescent="0.35">
      <c r="A38" s="191" t="s">
        <v>57</v>
      </c>
      <c r="B38" s="192"/>
      <c r="C38" s="192"/>
      <c r="D38" s="157"/>
      <c r="E38" s="43">
        <f t="shared" ref="E38:L38" si="12">E4+E36</f>
        <v>0</v>
      </c>
      <c r="F38" s="43">
        <f t="shared" si="12"/>
        <v>0</v>
      </c>
      <c r="G38" s="43">
        <f t="shared" si="12"/>
        <v>0</v>
      </c>
      <c r="H38" s="43">
        <f t="shared" si="12"/>
        <v>0</v>
      </c>
      <c r="I38" s="43">
        <f t="shared" si="12"/>
        <v>0</v>
      </c>
      <c r="J38" s="43">
        <f t="shared" si="12"/>
        <v>0</v>
      </c>
      <c r="K38" s="43">
        <f t="shared" si="12"/>
        <v>0</v>
      </c>
      <c r="L38" s="43">
        <f t="shared" si="12"/>
        <v>0</v>
      </c>
      <c r="M38" s="44"/>
    </row>
    <row r="39" spans="1:13" s="12" customFormat="1" ht="20.100000000000001" customHeight="1" x14ac:dyDescent="0.3">
      <c r="A39" s="61"/>
      <c r="B39" s="61"/>
      <c r="C39" s="61"/>
      <c r="D39" s="61"/>
      <c r="E39" s="22"/>
      <c r="F39" s="22"/>
      <c r="G39" s="22"/>
      <c r="H39" s="22"/>
      <c r="I39" s="22"/>
      <c r="J39" s="22"/>
      <c r="K39" s="22"/>
      <c r="L39" s="22"/>
      <c r="M39" s="23"/>
    </row>
    <row r="40" spans="1:13" ht="20.100000000000001" customHeight="1" x14ac:dyDescent="0.3">
      <c r="A40" s="1" t="s">
        <v>58</v>
      </c>
      <c r="E40" s="11"/>
      <c r="F40" s="11"/>
      <c r="G40" s="11"/>
      <c r="H40" s="11"/>
      <c r="I40" s="11"/>
      <c r="J40" s="11"/>
      <c r="K40" s="11"/>
      <c r="L40" s="11"/>
      <c r="M40" s="1"/>
    </row>
    <row r="41" spans="1:13" ht="20.100000000000001" customHeight="1" x14ac:dyDescent="0.3">
      <c r="A41" s="1" t="s">
        <v>59</v>
      </c>
      <c r="E41" s="11"/>
      <c r="F41" s="11"/>
      <c r="G41" s="11"/>
      <c r="H41" s="11"/>
      <c r="I41" s="11"/>
      <c r="J41" s="11"/>
      <c r="K41" s="11"/>
      <c r="L41" s="11"/>
      <c r="M41" s="1"/>
    </row>
    <row r="42" spans="1:13" ht="20.100000000000001" customHeight="1" x14ac:dyDescent="0.3">
      <c r="A42" s="1" t="s">
        <v>67</v>
      </c>
      <c r="E42" s="11"/>
      <c r="F42" s="11"/>
      <c r="G42" s="11"/>
      <c r="H42" s="11"/>
      <c r="I42" s="11"/>
      <c r="J42" s="11"/>
      <c r="K42" s="11"/>
      <c r="L42" s="11"/>
      <c r="M42" s="1"/>
    </row>
    <row r="43" spans="1:13" ht="20.100000000000001" customHeight="1" x14ac:dyDescent="0.3">
      <c r="A43" s="1" t="s">
        <v>60</v>
      </c>
      <c r="E43" s="11"/>
      <c r="F43" s="11"/>
      <c r="G43" s="11"/>
      <c r="H43" s="11"/>
      <c r="I43" s="11"/>
      <c r="J43" s="11"/>
      <c r="K43" s="11"/>
      <c r="L43" s="11"/>
      <c r="M43" s="1"/>
    </row>
  </sheetData>
  <mergeCells count="25">
    <mergeCell ref="A1:M1"/>
    <mergeCell ref="L3:M3"/>
    <mergeCell ref="A4:D4"/>
    <mergeCell ref="B6:D6"/>
    <mergeCell ref="A7:A21"/>
    <mergeCell ref="C7:D7"/>
    <mergeCell ref="C8:C10"/>
    <mergeCell ref="C11:D11"/>
    <mergeCell ref="C12:C14"/>
    <mergeCell ref="C15:D15"/>
    <mergeCell ref="C16:C17"/>
    <mergeCell ref="B21:D21"/>
    <mergeCell ref="A36:D36"/>
    <mergeCell ref="A38:D38"/>
    <mergeCell ref="C18:D18"/>
    <mergeCell ref="C19:C20"/>
    <mergeCell ref="C32:D32"/>
    <mergeCell ref="C33:C34"/>
    <mergeCell ref="A23:A35"/>
    <mergeCell ref="C23:D23"/>
    <mergeCell ref="C24:C25"/>
    <mergeCell ref="C26:D26"/>
    <mergeCell ref="C27:C29"/>
    <mergeCell ref="C30:D30"/>
    <mergeCell ref="B35:D35"/>
  </mergeCells>
  <phoneticPr fontId="2" type="noConversion"/>
  <printOptions horizontalCentered="1"/>
  <pageMargins left="0.19685039370078741" right="0.19685039370078741" top="0.59055118110236227" bottom="0.39370078740157483" header="0.19685039370078741" footer="0.19685039370078741"/>
  <pageSetup paperSize="9" scale="80" orientation="portrait" r:id="rId1"/>
  <headerFooter>
    <oddFooter>&amp;N페이지 중 &amp;P페이지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1.등록금등자금</vt:lpstr>
      <vt:lpstr>2.목적자금</vt:lpstr>
      <vt:lpstr>'1.등록금등자금'!Print_Area</vt:lpstr>
      <vt:lpstr>'2.목적자금'!Print_Area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김성천</dc:creator>
  <cp:lastModifiedBy>서원주</cp:lastModifiedBy>
  <cp:lastPrinted>2026-03-16T00:14:16Z</cp:lastPrinted>
  <dcterms:created xsi:type="dcterms:W3CDTF">2024-02-21T02:02:45Z</dcterms:created>
  <dcterms:modified xsi:type="dcterms:W3CDTF">2026-05-14T00:52:14Z</dcterms:modified>
</cp:coreProperties>
</file>